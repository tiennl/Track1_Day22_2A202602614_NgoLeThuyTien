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</numFmts>
  <fonts count="11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color theme="1"/>
      <sz val="11"/>
    </font>
    <font>
      <name val="Arial"/>
      <i val="1"/>
      <color rgb="FF666666"/>
      <sz val="9"/>
    </font>
    <font>
      <name val="Arial"/>
      <b val="1"/>
      <color rgb="FF1F2937"/>
      <sz val="11"/>
    </font>
    <font>
      <name val="Arial"/>
      <color rgb="FF0000FF"/>
      <sz val="10"/>
    </font>
    <font>
      <name val="Arial"/>
      <color theme="1"/>
      <sz val="10"/>
    </font>
    <font>
      <name val="Arial"/>
      <color rgb="FF008000"/>
      <sz val="10"/>
    </font>
    <font>
      <name val="Arial"/>
      <b val="1"/>
      <color theme="1"/>
      <sz val="10"/>
    </font>
    <font>
      <name val="Arial"/>
      <b val="1"/>
      <color rgb="FFC00000"/>
      <sz val="11"/>
    </font>
    <font>
      <name val="Arial"/>
      <b val="1"/>
      <color rgb="FFFFFFFF"/>
      <sz val="10"/>
    </font>
  </fonts>
  <fills count="7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2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6" fillId="5" borderId="2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6" fillId="6" borderId="2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5" fillId="3" borderId="2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3" fontId="5" fillId="3" borderId="2" applyAlignment="1" pivotButton="0" quotePrefix="0" xfId="0">
      <alignment vertical="bottom"/>
    </xf>
    <xf numFmtId="164" fontId="5" fillId="3" borderId="2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3" fontId="9" fillId="5" borderId="2" applyAlignment="1" pivotButton="0" quotePrefix="0" xfId="0">
      <alignment vertical="bottom"/>
    </xf>
    <xf numFmtId="3" fontId="6" fillId="5" borderId="2" applyAlignment="1" pivotButton="0" quotePrefix="0" xfId="0">
      <alignment vertical="bottom"/>
    </xf>
    <xf numFmtId="165" fontId="7" fillId="5" borderId="2" applyAlignment="1" pivotButton="0" quotePrefix="0" xfId="0">
      <alignment vertical="bottom"/>
    </xf>
    <xf numFmtId="166" fontId="5" fillId="3" borderId="2" applyAlignment="1" pivotButton="0" quotePrefix="0" xfId="0">
      <alignment vertical="bottom"/>
    </xf>
    <xf numFmtId="167" fontId="5" fillId="3" borderId="2" applyAlignment="1" pivotButton="0" quotePrefix="0" xfId="0">
      <alignment vertical="bottom"/>
    </xf>
    <xf numFmtId="165" fontId="9" fillId="5" borderId="2" applyAlignment="1" pivotButton="0" quotePrefix="0" xfId="0">
      <alignment vertical="bottom"/>
    </xf>
    <xf numFmtId="165" fontId="6" fillId="5" borderId="2" applyAlignment="1" pivotButton="0" quotePrefix="0" xfId="0">
      <alignment vertical="bottom"/>
    </xf>
    <xf numFmtId="168" fontId="5" fillId="3" borderId="2" applyAlignment="1" pivotButton="0" quotePrefix="0" xfId="0">
      <alignment vertical="bottom"/>
    </xf>
    <xf numFmtId="0" fontId="9" fillId="5" borderId="2" applyAlignment="1" pivotButton="0" quotePrefix="0" xfId="0">
      <alignment vertical="bottom"/>
    </xf>
    <xf numFmtId="0" fontId="8" fillId="6" borderId="2" applyAlignment="1" pivotButton="0" quotePrefix="0" xfId="0">
      <alignment vertical="bottom"/>
    </xf>
    <xf numFmtId="164" fontId="6" fillId="5" borderId="2" applyAlignment="1" pivotButton="0" quotePrefix="0" xfId="0">
      <alignment vertical="bottom"/>
    </xf>
    <xf numFmtId="165" fontId="5" fillId="3" borderId="2" applyAlignment="1" pivotButton="0" quotePrefix="0" xfId="0">
      <alignment vertical="bottom"/>
    </xf>
    <xf numFmtId="169" fontId="6" fillId="5" borderId="2" applyAlignment="1" pivotButton="0" quotePrefix="0" xfId="0">
      <alignment vertical="bottom"/>
    </xf>
    <xf numFmtId="164" fontId="9" fillId="5" borderId="2" applyAlignment="1" pivotButton="0" quotePrefix="0" xfId="0">
      <alignment vertical="bottom"/>
    </xf>
    <xf numFmtId="167" fontId="6" fillId="5" borderId="2" applyAlignment="1" pivotButton="0" quotePrefix="0" xfId="0">
      <alignment vertical="bottom"/>
    </xf>
    <xf numFmtId="167" fontId="9" fillId="5" borderId="2" applyAlignment="1" pivotButton="0" quotePrefix="0" xfId="0">
      <alignment vertical="bottom"/>
    </xf>
    <xf numFmtId="164" fontId="7" fillId="5" borderId="2" applyAlignment="1" pivotButton="0" quotePrefix="0" xfId="0">
      <alignment vertical="bottom"/>
    </xf>
    <xf numFmtId="168" fontId="9" fillId="5" borderId="2" applyAlignment="1" pivotButton="0" quotePrefix="0" xfId="0">
      <alignment vertical="bottom"/>
    </xf>
    <xf numFmtId="170" fontId="6" fillId="5" borderId="2" applyAlignment="1" pivotButton="0" quotePrefix="0" xfId="0">
      <alignment vertical="bottom"/>
    </xf>
    <xf numFmtId="168" fontId="6" fillId="5" borderId="2" applyAlignment="1" pivotButton="0" quotePrefix="0" xfId="0">
      <alignment vertical="bottom"/>
    </xf>
    <xf numFmtId="4" fontId="9" fillId="5" borderId="2" applyAlignment="1" pivotButton="0" quotePrefix="0" xfId="0">
      <alignment vertical="bottom"/>
    </xf>
    <xf numFmtId="169" fontId="9" fillId="5" borderId="2" applyAlignment="1" pivotButton="0" quotePrefix="0" xfId="0">
      <alignment vertical="bottom"/>
    </xf>
    <xf numFmtId="164" fontId="6" fillId="6" borderId="2" applyAlignment="1" pivotButton="0" quotePrefix="0" xfId="0">
      <alignment vertical="bottom"/>
    </xf>
    <xf numFmtId="0" fontId="5" fillId="3" borderId="2" applyAlignment="1" pivotButton="0" quotePrefix="0" xfId="0">
      <alignment vertical="top" wrapText="1"/>
    </xf>
    <xf numFmtId="0" fontId="10" fillId="2" borderId="2" applyAlignment="1" pivotButton="0" quotePrefix="0" xfId="0">
      <alignment vertical="bottom"/>
    </xf>
    <xf numFmtId="0" fontId="6" fillId="6" borderId="2" applyAlignment="1" pivotButton="0" quotePrefix="0" xfId="0">
      <alignment vertical="top"/>
    </xf>
    <xf numFmtId="0" fontId="3" fillId="6" borderId="2" applyAlignment="1" pivotButton="0" quotePrefix="0" xfId="0">
      <alignment vertical="top" wrapText="1"/>
    </xf>
    <xf numFmtId="0" fontId="0" fillId="0" borderId="0" pivotButton="0" quotePrefix="0" xfId="0"/>
    <xf numFmtId="0" fontId="5" fillId="3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None</author>
  </authors>
  <commentList>
    <comment ref="B5" authorId="0" shapeId="0">
      <text>
        <t>======
ID#AAACIQEOV6c
Unknown Author    (2026-10-08 02:20:56)
Ví dụ mẫu đang điền sẵn — thay bằng sản phẩm của bạn.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14.43" defaultRowHeight="15" customHeight="1"/>
  <cols>
    <col width="52" customWidth="1" style="45" min="1" max="1"/>
    <col width="62" customWidth="1" style="45" min="2" max="2"/>
    <col width="15" customWidth="1" style="45" min="3" max="8"/>
    <col width="8.710000000000001" customWidth="1" style="45" min="9" max="26"/>
  </cols>
  <sheetData>
    <row r="1" ht="24" customHeight="1" s="45">
      <c r="A1" s="1" t="inlineStr">
        <is>
          <t>DAY 28 — MONETIZATION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AI Pricing · GTM · Evidence — AI-IN-ACTION Track 1</t>
        </is>
      </c>
    </row>
    <row r="4">
      <c r="A4" s="4" t="inlineStr">
        <is>
          <t>QUY ƯỚC MÀU — CHỈ ĐIỀN VÀO Ô MÀU VÀNG</t>
        </is>
      </c>
    </row>
    <row r="5">
      <c r="A5" s="5" t="inlineStr">
        <is>
          <t>Ô VÀNG, chữ xanh dương</t>
        </is>
      </c>
      <c r="B5" s="14" t="inlineStr">
        <is>
          <t>Ô bạn phải điền</t>
        </is>
      </c>
    </row>
    <row r="6">
      <c r="A6" s="8" t="inlineStr">
        <is>
          <t>Ô XÁM, chữ đen</t>
        </is>
      </c>
      <c r="B6" s="14" t="inlineStr">
        <is>
          <t>Công thức tự tính — KHÔNG SỬA</t>
        </is>
      </c>
    </row>
    <row r="7">
      <c r="A7" s="9" t="inlineStr">
        <is>
          <t>Chữ xanh lá</t>
        </is>
      </c>
      <c r="B7" s="14" t="inlineStr">
        <is>
          <t>Link sang tab khác</t>
        </is>
      </c>
    </row>
    <row r="8">
      <c r="A8" s="11" t="inlineStr">
        <is>
          <t>Ô XÁM đậm nhạt</t>
        </is>
      </c>
      <c r="B8" s="14" t="inlineStr">
        <is>
          <t>Bảng tham chiếu, chỉ đọc</t>
        </is>
      </c>
    </row>
    <row r="10">
      <c r="A10" s="4" t="inlineStr">
        <is>
          <t>THỨ TỰ LÀM — 6 TRẠM, 120 PHÚT</t>
        </is>
      </c>
    </row>
    <row r="11">
      <c r="A11" s="12" t="inlineStr">
        <is>
          <t>Trạm 1 · 15'</t>
        </is>
      </c>
      <c r="B11" s="14" t="inlineStr">
        <is>
          <t>Ngân sách khách &amp; định nghĩa Job → điền S1–S2 của tab 1_Cost_Job</t>
        </is>
      </c>
    </row>
    <row r="12">
      <c r="A12" s="12" t="inlineStr">
        <is>
          <t>Trạm 2 · 20'</t>
        </is>
      </c>
      <c r="B12" s="14" t="inlineStr">
        <is>
          <t>Value Metric → tab 3_Value_Metric</t>
        </is>
      </c>
    </row>
    <row r="13">
      <c r="A13" s="12" t="inlineStr">
        <is>
          <t>Trạm 3 · 30'</t>
        </is>
      </c>
      <c r="B13" s="14" t="inlineStr">
        <is>
          <t>Cost/Job, giá sàn &amp; giá trần → tab 1_Cost_Job (S3–S8) rồi 2_Pricing</t>
        </is>
      </c>
    </row>
    <row r="14">
      <c r="A14" s="12" t="inlineStr">
        <is>
          <t>Trạm 4 · 20'</t>
        </is>
      </c>
      <c r="B14" s="14" t="inlineStr">
        <is>
          <t>Kênh phân phối &amp; Affordability Test → tab 4_Channel_Fit</t>
        </is>
      </c>
    </row>
    <row r="15">
      <c r="A15" s="12" t="inlineStr">
        <is>
          <t>Trạm 5 · 15'</t>
        </is>
      </c>
      <c r="B15" s="14" t="inlineStr">
        <is>
          <t>Pain Moment &amp; 90-Day Plan → tab 5_90Day_Plan</t>
        </is>
      </c>
    </row>
    <row r="16">
      <c r="A16" s="12" t="inlineStr">
        <is>
          <t>Trạm 6 · 20'</t>
        </is>
      </c>
      <c r="B16" s="14" t="inlineStr">
        <is>
          <t>Evidence Pack &amp; ráp One-Pager → tab 5_90Day_Plan + file .docx</t>
        </is>
      </c>
    </row>
    <row r="18">
      <c r="A18" s="4" t="inlineStr">
        <is>
          <t>3 QUY TẮC KHÔNG ĐƯỢC PHÁ</t>
        </is>
      </c>
    </row>
    <row r="19">
      <c r="A19" s="14" t="inlineStr">
        <is>
          <t>1. Chia cho số job HOÀN THÀNH, không phải số job đã thử.</t>
        </is>
      </c>
    </row>
    <row r="20">
      <c r="A20" s="14" t="inlineStr">
        <is>
          <t>2. HITL và Retry không được để 0 nếu không có lý do viết ra được.</t>
        </is>
      </c>
    </row>
    <row r="21" ht="15.75" customHeight="1" s="45">
      <c r="A21" s="14" t="inlineStr">
        <is>
          <t>3. Mọi con số giá API phải có NGÀY kiểm tra (xem tab 6_Benchmarks).</t>
        </is>
      </c>
    </row>
    <row r="22" ht="15.75" customHeight="1" s="45"/>
    <row r="23" ht="15.75" customHeight="1" s="45">
      <c r="A23" s="17" t="inlineStr">
        <is>
          <t>Giá tham chiếu trong workbook này được chốt ngày 26/08/2026. Nhiều mức giá là KHUYẾN MẠI CÓ HẠN.</t>
        </is>
      </c>
    </row>
    <row r="24" ht="15.75" customHeight="1" s="45">
      <c r="A24" s="17" t="inlineStr">
        <is>
          <t>Bạn PHẢI tự mở lại trang giá của nhà cung cấp và cập nhật — đây là một phần của bài tập.</t>
        </is>
      </c>
    </row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2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1 — COST/JOB CALCULATOR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1 (S1–S2) và Trạm 3 (S3–S8). Chỉ điền ô vàng.</t>
        </is>
      </c>
    </row>
    <row r="4">
      <c r="A4" s="7" t="inlineStr">
        <is>
          <t>S1. ĐỊNH NGHĨA JOB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 job của bạn là gì?</t>
        </is>
      </c>
      <c r="B5" s="46" t="inlineStr">
        <is>
          <t>1 hội thoại bán hàng/CSKH được giải quyết xong (khách có đơn hoặc được trả lời đủ, không hỏi lại trong 24h)</t>
        </is>
      </c>
      <c r="D5" s="47" t="inlineStr">
        <is>
          <t>ƯỚC TÍNH: bot chat cho shop online SMB Việt Nam (Messenger / Zalo OA). Khách coi 'hội thoại xong' là giá trị, không phải 1 request</t>
        </is>
      </c>
    </row>
    <row r="6">
      <c r="A6" s="14" t="inlineStr">
        <is>
          <t>Biến thể HITL: A hay B?</t>
        </is>
      </c>
      <c r="B6" s="13" t="inlineStr">
        <is>
          <t>B</t>
        </is>
      </c>
      <c r="D6" s="17" t="inlineStr">
        <is>
          <t>A = khách tự xử lý ca escalate · B = BẠN chịu (outcome/managed)</t>
        </is>
      </c>
    </row>
    <row r="8">
      <c r="A8" s="7" t="inlineStr">
        <is>
          <t>S2. KHỐI LƯỢNG</t>
        </is>
      </c>
      <c r="B8" s="10" t="n"/>
      <c r="C8" s="10" t="n"/>
      <c r="D8" s="10" t="n"/>
      <c r="E8" s="10" t="n"/>
      <c r="F8" s="10" t="n"/>
      <c r="G8" s="10" t="n"/>
      <c r="H8" s="10" t="n"/>
    </row>
    <row r="9">
      <c r="A9" s="14" t="inlineStr">
        <is>
          <t>Số job THỬ / tháng</t>
        </is>
      </c>
      <c r="B9" s="15" t="n">
        <v>1000</v>
      </c>
      <c r="C9" s="17" t="inlineStr">
        <is>
          <t>job</t>
        </is>
      </c>
    </row>
    <row r="10">
      <c r="A10" s="14" t="inlineStr">
        <is>
          <t>Containment rate (AI tự làm xong)</t>
        </is>
      </c>
      <c r="B10" s="16" t="n">
        <v>0.82</v>
      </c>
      <c r="D10" s="47" t="inlineStr">
        <is>
          <t>ƯỚC TÍNH 82% (chưa có eval thật) — phải thay bằng kết quả eval 200 hội thoại. Xem 5_90Day_Plan C23</t>
        </is>
      </c>
    </row>
    <row r="11">
      <c r="A11" s="14" t="inlineStr">
        <is>
          <t>→ Số job HOÀN THÀNH / tháng</t>
        </is>
      </c>
      <c r="B11" s="19">
        <f>B9*B10</f>
        <v/>
      </c>
      <c r="C11" s="17" t="inlineStr">
        <is>
          <t>job</t>
        </is>
      </c>
      <c r="D11" s="17" t="inlineStr">
        <is>
          <t>MẪU SỐ của Cost/Job</t>
        </is>
      </c>
    </row>
    <row r="12">
      <c r="A12" s="14" t="inlineStr">
        <is>
          <t>→ Số job KHÔNG xong / tháng</t>
        </is>
      </c>
      <c r="B12" s="19">
        <f>B9-B11</f>
        <v/>
      </c>
      <c r="C12" s="17" t="inlineStr">
        <is>
          <t>job</t>
        </is>
      </c>
      <c r="D12" s="17" t="inlineStr">
        <is>
          <t>Số ca phải escalate</t>
        </is>
      </c>
    </row>
    <row r="14">
      <c r="A14" s="7" t="inlineStr">
        <is>
          <t>S3. API — LLM</t>
        </is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14" t="inlineStr">
        <is>
          <t>Giá input ($ / 1M token)</t>
        </is>
      </c>
      <c r="B15" s="22" t="n">
        <v>1</v>
      </c>
      <c r="D15" s="47" t="inlineStr">
        <is>
          <t>Claude Haiku 4.5 — tab 6_Benchmarks. CHƯA kiểm tra lại giá (xem 6_Benchmarks B3)</t>
        </is>
      </c>
    </row>
    <row r="16">
      <c r="A16" s="14" t="inlineStr">
        <is>
          <t>Giá output ($ / 1M token)</t>
        </is>
      </c>
      <c r="B16" s="22" t="n">
        <v>5</v>
      </c>
    </row>
    <row r="17">
      <c r="A17" s="14" t="inlineStr">
        <is>
          <t>Giá cache WRITE ($ / 1M token)</t>
        </is>
      </c>
      <c r="B17" s="22" t="n">
        <v>1.25</v>
      </c>
      <c r="D17" s="17" t="inlineStr">
        <is>
          <t>Anthropic 5-phút = 1,25× input</t>
        </is>
      </c>
    </row>
    <row r="18">
      <c r="A18" s="14" t="inlineStr">
        <is>
          <t>Giá cache READ ($ / 1M token)</t>
        </is>
      </c>
      <c r="B18" s="22" t="n">
        <v>0.1</v>
      </c>
      <c r="D18" s="17" t="inlineStr">
        <is>
          <t>≈ 0,1× input (giảm 90%)</t>
        </is>
      </c>
    </row>
    <row r="19">
      <c r="A19" s="14" t="inlineStr">
        <is>
          <t>Số lượt (turns) / job</t>
        </is>
      </c>
      <c r="B19" s="15" t="n">
        <v>6</v>
      </c>
      <c r="C19" s="17" t="inlineStr">
        <is>
          <t>lượt</t>
        </is>
      </c>
    </row>
    <row r="20">
      <c r="A20" s="14" t="inlineStr">
        <is>
          <t>Token input CACHE ĐƯỢC / lượt</t>
        </is>
      </c>
      <c r="B20" s="15" t="n">
        <v>3000</v>
      </c>
      <c r="C20" s="17" t="inlineStr">
        <is>
          <t>token</t>
        </is>
      </c>
      <c r="D20" s="17" t="inlineStr">
        <is>
          <t>System prompt + KB + few-shot</t>
        </is>
      </c>
    </row>
    <row r="21" ht="15.75" customHeight="1" s="45">
      <c r="A21" s="14" t="inlineStr">
        <is>
          <t>Token input FRESH / lượt</t>
        </is>
      </c>
      <c r="B21" s="15" t="n">
        <v>1000</v>
      </c>
      <c r="C21" s="17" t="inlineStr">
        <is>
          <t>token</t>
        </is>
      </c>
      <c r="D21" s="17" t="inlineStr">
        <is>
          <t>Câu hỏi khách + dữ liệu động</t>
        </is>
      </c>
    </row>
    <row r="22" ht="15.75" customHeight="1" s="45">
      <c r="A22" s="14" t="inlineStr">
        <is>
          <t>Token output / lượt</t>
        </is>
      </c>
      <c r="B22" s="15" t="n">
        <v>300</v>
      </c>
      <c r="C22" s="17" t="inlineStr">
        <is>
          <t>token</t>
        </is>
      </c>
    </row>
    <row r="23" ht="15.75" customHeight="1" s="45">
      <c r="A23" s="14" t="inlineStr">
        <is>
          <t>→ Cache write / job</t>
        </is>
      </c>
      <c r="B23" s="24">
        <f>B20*B17/1000000</f>
        <v/>
      </c>
    </row>
    <row r="24" ht="15.75" customHeight="1" s="45">
      <c r="A24" s="14" t="inlineStr">
        <is>
          <t>→ Cache read / job</t>
        </is>
      </c>
      <c r="B24" s="24">
        <f>(B19-1)*B20*B18/1000000</f>
        <v/>
      </c>
    </row>
    <row r="25" ht="15.75" customHeight="1" s="45">
      <c r="A25" s="14" t="inlineStr">
        <is>
          <t>→ Input fresh / job</t>
        </is>
      </c>
      <c r="B25" s="24">
        <f>B19*B21*B15/1000000</f>
        <v/>
      </c>
    </row>
    <row r="26" ht="15.75" customHeight="1" s="45">
      <c r="A26" s="14" t="inlineStr">
        <is>
          <t>→ Output / job</t>
        </is>
      </c>
      <c r="B26" s="24">
        <f>B19*B22*B16/1000000</f>
        <v/>
      </c>
    </row>
    <row r="27" ht="15.75" customHeight="1" s="45">
      <c r="A27" s="12" t="inlineStr">
        <is>
          <t>→ LLM / job — CÓ prompt caching</t>
        </is>
      </c>
      <c r="B27" s="23">
        <f>SUM(B23:B26)</f>
        <v/>
      </c>
    </row>
    <row r="28" ht="15.75" customHeight="1" s="45">
      <c r="A28" s="14" t="inlineStr">
        <is>
          <t>→ LLM / job — KHÔNG cache</t>
        </is>
      </c>
      <c r="B28" s="24">
        <f>B19*(B20+B21)*B15/1000000+B26</f>
        <v/>
      </c>
    </row>
    <row r="29" ht="15.75" customHeight="1" s="45">
      <c r="A29" s="14" t="inlineStr">
        <is>
          <t>→ % tiết kiệm nhờ caching</t>
        </is>
      </c>
      <c r="B29" s="28">
        <f>IF(B28=0,0,1-B27/B28)</f>
        <v/>
      </c>
      <c r="D29" s="17" t="inlineStr">
        <is>
          <t>Đòn bẩy rẻ nhất bạn có</t>
        </is>
      </c>
    </row>
    <row r="30" ht="15.75" customHeight="1" s="45">
      <c r="A30" s="14" t="inlineStr">
        <is>
          <t>Dùng Batch API? (1 = có, 0 = không)</t>
        </is>
      </c>
      <c r="B30" s="15" t="n">
        <v>0</v>
      </c>
      <c r="D30" s="17" t="inlineStr">
        <is>
          <t>Batch giảm 50% — chỉ khi job KHÔNG cần realtime</t>
        </is>
      </c>
    </row>
    <row r="31" ht="15.75" customHeight="1" s="45">
      <c r="A31" s="12" t="inlineStr">
        <is>
          <t>→ LLM / job sau Batch</t>
        </is>
      </c>
      <c r="B31" s="23">
        <f>B27*(1-B30*0.5)</f>
        <v/>
      </c>
    </row>
    <row r="32" ht="15.75" customHeight="1" s="45"/>
    <row r="33" ht="15.75" customHeight="1" s="45">
      <c r="A33" s="7" t="inlineStr">
        <is>
          <t>S4. API — SPEECH (để 0 nếu sản phẩm không có thoại)</t>
        </is>
      </c>
      <c r="B33" s="10" t="n"/>
      <c r="C33" s="10" t="n"/>
      <c r="D33" s="10" t="n"/>
      <c r="E33" s="10" t="n"/>
      <c r="F33" s="10" t="n"/>
      <c r="G33" s="10" t="n"/>
      <c r="H33" s="10" t="n"/>
    </row>
    <row r="34" ht="15.75" customHeight="1" s="45">
      <c r="A34" s="14" t="inlineStr">
        <is>
          <t>Giá STT ($ / phút)</t>
        </is>
      </c>
      <c r="B34" s="29" t="n">
        <v>0</v>
      </c>
      <c r="D34" s="17" t="inlineStr">
        <is>
          <t>Deepgram streaming list $0,0077/phút</t>
        </is>
      </c>
    </row>
    <row r="35" ht="15.75" customHeight="1" s="45">
      <c r="A35" s="14" t="inlineStr">
        <is>
          <t>Số phút audio / job</t>
        </is>
      </c>
      <c r="B35" s="21" t="n">
        <v>0</v>
      </c>
      <c r="C35" s="17" t="inlineStr">
        <is>
          <t>phút</t>
        </is>
      </c>
    </row>
    <row r="36" ht="15.75" customHeight="1" s="45">
      <c r="A36" s="14" t="inlineStr">
        <is>
          <t>Giá TTS ($ / 1M ký tự)</t>
        </is>
      </c>
      <c r="B36" s="22" t="n">
        <v>0</v>
      </c>
      <c r="D36" s="17" t="inlineStr">
        <is>
          <t>ElevenLabs Flash $50 · Google Standard $4</t>
        </is>
      </c>
    </row>
    <row r="37" ht="15.75" customHeight="1" s="45">
      <c r="A37" s="14" t="inlineStr">
        <is>
          <t>Số ký tự TTS / job</t>
        </is>
      </c>
      <c r="B37" s="15" t="n">
        <v>0</v>
      </c>
      <c r="C37" s="17" t="inlineStr">
        <is>
          <t>ký tự</t>
        </is>
      </c>
      <c r="D37" s="17" t="inlineStr">
        <is>
          <t>≈ 900 ký tự cho mỗi phút bot nói</t>
        </is>
      </c>
    </row>
    <row r="38" ht="15.75" customHeight="1" s="45">
      <c r="A38" s="14" t="inlineStr">
        <is>
          <t>→ Speech / job</t>
        </is>
      </c>
      <c r="B38" s="24">
        <f>B34*B35+B36*B37/1000000</f>
        <v/>
      </c>
    </row>
    <row r="39" ht="15.75" customHeight="1" s="45"/>
    <row r="40" ht="15.75" customHeight="1" s="45">
      <c r="A40" s="7" t="inlineStr">
        <is>
          <t>S5. INFRA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15.75" customHeight="1" s="45">
      <c r="A41" s="14" t="inlineStr">
        <is>
          <t>Infra / job ($)</t>
        </is>
      </c>
      <c r="B41" s="29" t="n">
        <v>0.005</v>
      </c>
      <c r="D41" s="17" t="inlineStr">
        <is>
          <t>Vector DB, embedding, storage, logging</t>
        </is>
      </c>
    </row>
    <row r="42" ht="15.75" customHeight="1" s="45">
      <c r="A42" s="14" t="inlineStr">
        <is>
          <t>Telephony ($ / phút)</t>
        </is>
      </c>
      <c r="B42" s="29" t="n">
        <v>0</v>
      </c>
    </row>
    <row r="43" ht="15.75" customHeight="1" s="45">
      <c r="A43" s="14" t="inlineStr">
        <is>
          <t>→ Infra / job</t>
        </is>
      </c>
      <c r="B43" s="24">
        <f>B41+B42*B35</f>
        <v/>
      </c>
    </row>
    <row r="44" ht="15.75" customHeight="1" s="45"/>
    <row r="45" ht="15.75" customHeight="1" s="45">
      <c r="A45" s="7" t="inlineStr">
        <is>
          <t>S6. RETRY</t>
        </is>
      </c>
      <c r="B45" s="10" t="n"/>
      <c r="C45" s="10" t="n"/>
      <c r="D45" s="10" t="n"/>
      <c r="E45" s="10" t="n"/>
      <c r="F45" s="10" t="n"/>
      <c r="G45" s="10" t="n"/>
      <c r="H45" s="10" t="n"/>
    </row>
    <row r="46" ht="15.75" customHeight="1" s="45">
      <c r="A46" s="14" t="inlineStr">
        <is>
          <t>Tỷ lệ job phải chạy lại</t>
        </is>
      </c>
      <c r="B46" s="16" t="n">
        <v>0.08</v>
      </c>
      <c r="D46" s="17" t="inlineStr">
        <is>
          <t>ĐỪNG để 0%. Thực tế 5–10% là bình thường</t>
        </is>
      </c>
    </row>
    <row r="47" ht="15.75" customHeight="1" s="45">
      <c r="A47" s="14" t="inlineStr">
        <is>
          <t>→ Retry / job</t>
        </is>
      </c>
      <c r="B47" s="24">
        <f>(B31+B38)*B46</f>
        <v/>
      </c>
    </row>
    <row r="48" ht="15.75" customHeight="1" s="45"/>
    <row r="49" ht="15.75" customHeight="1" s="45">
      <c r="A49" s="7" t="inlineStr">
        <is>
          <t>S7. HITL — người trong vòng lặp</t>
        </is>
      </c>
      <c r="B49" s="10" t="n"/>
      <c r="C49" s="10" t="n"/>
      <c r="D49" s="10" t="n"/>
      <c r="E49" s="10" t="n"/>
      <c r="F49" s="10" t="n"/>
      <c r="G49" s="10" t="n"/>
      <c r="H49" s="10" t="n"/>
    </row>
    <row r="50" ht="15.75" customHeight="1" s="45">
      <c r="A50" s="14" t="inlineStr">
        <is>
          <t>Chi phí nhân sự ($ / giờ, fully-loaded)</t>
        </is>
      </c>
      <c r="B50" s="22" t="n">
        <v>3</v>
      </c>
      <c r="D50" s="47" t="inlineStr">
        <is>
          <t>ƯỚC TÍNH: nhân viên CSKH VN ~9 triệu ₫/tháng ÷ 160 giờ ≈ 56k₫ + BHXH, quản lý, chỗ ngồi ≈ 78k₫ ≈ $3/giờ</t>
        </is>
      </c>
    </row>
    <row r="51" ht="15.75" customHeight="1" s="45">
      <c r="A51" s="14" t="inlineStr">
        <is>
          <t>% hội thoại QA nội bộ</t>
        </is>
      </c>
      <c r="B51" s="16" t="n">
        <v>0.05</v>
      </c>
      <c r="D51" s="17" t="inlineStr">
        <is>
          <t>Luôn có, kể cả Biến thể A</t>
        </is>
      </c>
    </row>
    <row r="52" ht="15.75" customHeight="1" s="45">
      <c r="A52" s="14" t="inlineStr">
        <is>
          <t>Số phút QA / ca</t>
        </is>
      </c>
      <c r="B52" s="21" t="n">
        <v>2</v>
      </c>
      <c r="C52" s="17" t="inlineStr">
        <is>
          <t>phút</t>
        </is>
      </c>
    </row>
    <row r="53" ht="15.75" customHeight="1" s="45">
      <c r="A53" s="14" t="inlineStr">
        <is>
          <t>Số phút xử lý 1 ca escalate</t>
        </is>
      </c>
      <c r="B53" s="21" t="n">
        <v>6</v>
      </c>
      <c r="C53" s="17" t="inlineStr">
        <is>
          <t>phút</t>
        </is>
      </c>
    </row>
    <row r="54" ht="15.75" customHeight="1" s="45">
      <c r="A54" s="14" t="inlineStr">
        <is>
          <t>→ QA nội bộ / tháng</t>
        </is>
      </c>
      <c r="B54" s="32">
        <f>B9*B51*(B52/60)*B50</f>
        <v/>
      </c>
    </row>
    <row r="55" ht="15.75" customHeight="1" s="45">
      <c r="A55" s="14" t="inlineStr">
        <is>
          <t>→ Escalation / tháng (chỉ Biến thể B)</t>
        </is>
      </c>
      <c r="B55" s="32">
        <f>IF(B6="B",B12*(B53/60)*B50,0)</f>
        <v/>
      </c>
      <c r="D55" s="17" t="inlineStr">
        <is>
          <t>Biến thể A → 0 vì khách tự chịu</t>
        </is>
      </c>
    </row>
    <row r="56" ht="15.75" customHeight="1" s="45">
      <c r="A56" s="12" t="inlineStr">
        <is>
          <t>→ Tổng HITL / tháng</t>
        </is>
      </c>
      <c r="B56" s="33">
        <f>B54+B55</f>
        <v/>
      </c>
    </row>
    <row r="57" ht="15.75" customHeight="1" s="45"/>
    <row r="58" ht="15.75" customHeight="1" s="45">
      <c r="A58" s="7" t="inlineStr">
        <is>
          <t>S8. OVERHEAD (tuỳ chọn)</t>
        </is>
      </c>
      <c r="B58" s="10" t="n"/>
      <c r="C58" s="10" t="n"/>
      <c r="D58" s="10" t="n"/>
      <c r="E58" s="10" t="n"/>
      <c r="F58" s="10" t="n"/>
      <c r="G58" s="10" t="n"/>
      <c r="H58" s="10" t="n"/>
    </row>
    <row r="59" ht="15.75" customHeight="1" s="45">
      <c r="A59" s="14" t="inlineStr">
        <is>
          <t>R&amp;D + Sales phân bổ / tháng ($)</t>
        </is>
      </c>
      <c r="B59" s="22" t="n">
        <v>0</v>
      </c>
      <c r="D59" s="17" t="inlineStr">
        <is>
          <t>Để 0 nếu chỉ muốn xem Cost/Job thuần COGS</t>
        </is>
      </c>
    </row>
    <row r="60" ht="15.75" customHeight="1" s="45"/>
    <row r="61" ht="15.75" customHeight="1" s="45">
      <c r="A61" s="7" t="inlineStr">
        <is>
          <t>KẾT QUẢ</t>
        </is>
      </c>
      <c r="B61" s="10" t="n"/>
      <c r="C61" s="10" t="n"/>
      <c r="D61" s="10" t="n"/>
      <c r="E61" s="10" t="n"/>
      <c r="F61" s="10" t="n"/>
      <c r="G61" s="10" t="n"/>
      <c r="H61" s="10" t="n"/>
    </row>
    <row r="62" ht="15.75" customHeight="1" s="45">
      <c r="A62" s="14" t="inlineStr">
        <is>
          <t>Chi phí biến đổi / tháng (API + Speech + Infra + Retry)</t>
        </is>
      </c>
      <c r="B62" s="32">
        <f>B9*(B31+B38+B43+B47)</f>
        <v/>
      </c>
    </row>
    <row r="63" ht="15.75" customHeight="1" s="45">
      <c r="A63" s="14" t="inlineStr">
        <is>
          <t>HITL / tháng</t>
        </is>
      </c>
      <c r="B63" s="32">
        <f>B56</f>
        <v/>
      </c>
    </row>
    <row r="64" ht="15.75" customHeight="1" s="45">
      <c r="A64" s="14" t="inlineStr">
        <is>
          <t>Overhead / tháng</t>
        </is>
      </c>
      <c r="B64" s="32">
        <f>B59</f>
        <v/>
      </c>
    </row>
    <row r="65" ht="15.75" customHeight="1" s="45">
      <c r="A65" s="14" t="inlineStr">
        <is>
          <t>TỔNG CHI PHÍ / tháng</t>
        </is>
      </c>
      <c r="B65" s="32">
        <f>B62+B63+B64</f>
        <v/>
      </c>
    </row>
    <row r="66" ht="15.75" customHeight="1" s="45">
      <c r="A66" s="12" t="inlineStr">
        <is>
          <t>★ COST/JOB (chưa overhead)</t>
        </is>
      </c>
      <c r="B66" s="23">
        <f>IF(B11=0,0,(B62+B63)/B11)</f>
        <v/>
      </c>
      <c r="C66" s="17" t="inlineStr">
        <is>
          <t>$/job</t>
        </is>
      </c>
      <c r="D66" s="17" t="inlineStr">
        <is>
          <t>Con số chảy sang tab 2_Pricing</t>
        </is>
      </c>
    </row>
    <row r="67" ht="15.75" customHeight="1" s="45">
      <c r="A67" s="12" t="inlineStr">
        <is>
          <t>★ COST/JOB (có overhead)</t>
        </is>
      </c>
      <c r="B67" s="23">
        <f>IF(B11=0,0,B65/B11)</f>
        <v/>
      </c>
      <c r="C67" s="17" t="inlineStr">
        <is>
          <t>$/job</t>
        </is>
      </c>
    </row>
    <row r="68" ht="15.75" customHeight="1" s="45">
      <c r="A68" s="14" t="inlineStr">
        <is>
          <t>Tỷ giá (₫ / USD) — giả định</t>
        </is>
      </c>
      <c r="B68" s="15" t="n">
        <v>26000</v>
      </c>
      <c r="C68" s="17" t="inlineStr">
        <is>
          <t>₫/USD</t>
        </is>
      </c>
      <c r="D68" s="17" t="inlineStr">
        <is>
          <t>Thay bằng tỷ giá thực tế khi làm bài</t>
        </is>
      </c>
    </row>
    <row r="69" ht="15.75" customHeight="1" s="45">
      <c r="A69" s="14" t="inlineStr">
        <is>
          <t>→ Cost/Job quy đổi</t>
        </is>
      </c>
      <c r="B69" s="36">
        <f>B66*B68</f>
        <v/>
      </c>
      <c r="C69" s="17" t="inlineStr">
        <is>
          <t>₫/job</t>
        </is>
      </c>
    </row>
    <row r="70" ht="15.75" customHeight="1" s="45"/>
    <row r="71" ht="15.75" customHeight="1" s="45">
      <c r="A71" s="7" t="inlineStr">
        <is>
          <t>THÀNH PHẦN NÀO ĂN NHIỀU NHẤT? (kiểm tra nhanh)</t>
        </is>
      </c>
      <c r="B71" s="10" t="n"/>
      <c r="C71" s="10" t="n"/>
      <c r="D71" s="10" t="n"/>
      <c r="E71" s="10" t="n"/>
      <c r="F71" s="10" t="n"/>
      <c r="G71" s="10" t="n"/>
      <c r="H71" s="10" t="n"/>
    </row>
    <row r="72" ht="15.75" customHeight="1" s="45">
      <c r="A72" s="14" t="inlineStr">
        <is>
          <t>LLM</t>
        </is>
      </c>
      <c r="B72" s="32">
        <f>B9*B31</f>
        <v/>
      </c>
      <c r="C72" s="28">
        <f>IF($B$65=0,0,B72/$B$65)</f>
        <v/>
      </c>
    </row>
    <row r="73" ht="15.75" customHeight="1" s="45">
      <c r="A73" s="14" t="inlineStr">
        <is>
          <t>Speech</t>
        </is>
      </c>
      <c r="B73" s="32">
        <f>B9*B38</f>
        <v/>
      </c>
      <c r="C73" s="28">
        <f>IF($B$65=0,0,B73/$B$65)</f>
        <v/>
      </c>
    </row>
    <row r="74" ht="15.75" customHeight="1" s="45">
      <c r="A74" s="14" t="inlineStr">
        <is>
          <t>Infra</t>
        </is>
      </c>
      <c r="B74" s="32">
        <f>B9*B43</f>
        <v/>
      </c>
      <c r="C74" s="28">
        <f>IF($B$65=0,0,B74/$B$65)</f>
        <v/>
      </c>
    </row>
    <row r="75" ht="15.75" customHeight="1" s="45">
      <c r="A75" s="14" t="inlineStr">
        <is>
          <t>Retry</t>
        </is>
      </c>
      <c r="B75" s="32">
        <f>B9*B47</f>
        <v/>
      </c>
      <c r="C75" s="28">
        <f>IF($B$65=0,0,B75/$B$65)</f>
        <v/>
      </c>
    </row>
    <row r="76" ht="15.75" customHeight="1" s="45">
      <c r="A76" s="14" t="inlineStr">
        <is>
          <t>HITL</t>
        </is>
      </c>
      <c r="B76" s="32">
        <f>B56</f>
        <v/>
      </c>
      <c r="C76" s="28">
        <f>IF($B$65=0,0,B76/$B$65)</f>
        <v/>
      </c>
    </row>
    <row r="77" ht="15.75" customHeight="1" s="45">
      <c r="A77" s="14" t="inlineStr">
        <is>
          <t>Overhead</t>
        </is>
      </c>
      <c r="B77" s="32">
        <f>B59</f>
        <v/>
      </c>
      <c r="C77" s="28">
        <f>IF($B$65=0,0,B77/$B$65)</f>
        <v/>
      </c>
    </row>
    <row r="78" ht="15.75" customHeight="1" s="45">
      <c r="A78" s="17" t="inlineStr">
        <is>
          <t>Nếu LLM chiếm &gt;80% thì gần như chắc chắn bạn đang thiếu chi phí ở S5–S7.</t>
        </is>
      </c>
    </row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6" showDropDown="0" showInputMessage="0" showErrorMessage="0" allowBlank="1" type="list">
      <formula1>"A,B"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2 — PRICING SANITY CHECK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3. Cost/Job tự lấy từ tab 1. Bạn điền giá bán và các con số neo giá.</t>
        </is>
      </c>
    </row>
    <row r="4">
      <c r="A4" s="7" t="inlineStr">
        <is>
          <t>GIÁ SÀN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Cost/Job (từ tab 1_Cost_Job)</t>
        </is>
      </c>
      <c r="B5" s="20">
        <f>'1_Cost_Job'!B66</f>
        <v/>
      </c>
      <c r="C5" s="17" t="inlineStr">
        <is>
          <t>$/job</t>
        </is>
      </c>
    </row>
    <row r="6">
      <c r="A6" s="14" t="inlineStr">
        <is>
          <t>Hệ số an toàn tối thiểu</t>
        </is>
      </c>
      <c r="B6" s="21" t="n">
        <v>3</v>
      </c>
      <c r="C6" s="17" t="inlineStr">
        <is>
          <t>×</t>
        </is>
      </c>
      <c r="D6" s="17" t="inlineStr">
        <is>
          <t>Giá bán ≥ 3 × Cost/Job</t>
        </is>
      </c>
    </row>
    <row r="7">
      <c r="A7" s="12" t="inlineStr">
        <is>
          <t>→ GIÁ SÀN</t>
        </is>
      </c>
      <c r="B7" s="23">
        <f>B5*B6</f>
        <v/>
      </c>
      <c r="C7" s="17" t="inlineStr">
        <is>
          <t>$/job</t>
        </is>
      </c>
    </row>
    <row r="9">
      <c r="A9" s="7" t="inlineStr">
        <is>
          <t>GIÁ TRẦN — NEO THEO THỨ KHÁCH ĐANG CHI</t>
        </is>
      </c>
      <c r="B9" s="10" t="n"/>
      <c r="C9" s="10" t="n"/>
      <c r="D9" s="10" t="n"/>
      <c r="E9" s="10" t="n"/>
      <c r="F9" s="10" t="n"/>
      <c r="G9" s="10" t="n"/>
      <c r="H9" s="10" t="n"/>
    </row>
    <row r="10">
      <c r="A10" s="14" t="inlineStr">
        <is>
          <t>Giá trị khách tiết kiệm được / tháng ($)</t>
        </is>
      </c>
      <c r="B10" s="25" t="n">
        <v>1200</v>
      </c>
      <c r="D10" s="47" t="inlineStr">
        <is>
          <t>ƯỚC TÍNH: doanh thu giữ được/tháng nhờ trả lời ngoài giờ + công trực tiết kiệm (cần xác nhận qua pilot)</t>
        </is>
      </c>
    </row>
    <row r="11">
      <c r="A11" s="14" t="inlineStr">
        <is>
          <t>Số job / tháng của 1 khách</t>
        </is>
      </c>
      <c r="B11" s="15" t="n">
        <v>400</v>
      </c>
      <c r="C11" s="17" t="inlineStr">
        <is>
          <t>job</t>
        </is>
      </c>
      <c r="D11" s="48" t="inlineStr">
        <is>
          <t>Shop SMB điển hình ~400 hội thoại xong/tháng (giả định, kiểm chứng ở pilot)</t>
        </is>
      </c>
    </row>
    <row r="12">
      <c r="A12" s="14" t="inlineStr">
        <is>
          <t>→ Trần theo giá trị — mức 10%</t>
        </is>
      </c>
      <c r="B12" s="24">
        <f>IF(B11=0,0,B10*0.1/B11)</f>
        <v/>
      </c>
      <c r="C12" s="17" t="inlineStr">
        <is>
          <t>$/job</t>
        </is>
      </c>
    </row>
    <row r="13">
      <c r="A13" s="14" t="inlineStr">
        <is>
          <t>→ Trần theo giá trị — mức 25%</t>
        </is>
      </c>
      <c r="B13" s="24">
        <f>IF(B11=0,0,B10*0.25/B11)</f>
        <v/>
      </c>
      <c r="C13" s="17" t="inlineStr">
        <is>
          <t>$/job</t>
        </is>
      </c>
    </row>
    <row r="14">
      <c r="A14" s="14" t="inlineStr">
        <is>
          <t>Lương / tháng của vị trí bị thay ($)</t>
        </is>
      </c>
      <c r="B14" s="25" t="n">
        <v>450</v>
      </c>
      <c r="D14" s="47" t="inlineStr">
        <is>
          <t>ƯỚC TÍNH: lương 1 nhân viên CSKH part-time/full-time thay ca ≈ 11,7 triệu ₫ ≈ $450/tháng</t>
        </is>
      </c>
    </row>
    <row r="15">
      <c r="A15" s="14" t="inlineStr">
        <is>
          <t>→ Trần theo nhân công — mức 50%</t>
        </is>
      </c>
      <c r="B15" s="24">
        <f>IF(B11=0,0,B14*0.5/B11)</f>
        <v/>
      </c>
      <c r="C15" s="17" t="inlineStr">
        <is>
          <t>$/job</t>
        </is>
      </c>
    </row>
    <row r="16">
      <c r="A16" s="14" t="inlineStr">
        <is>
          <t>→ Trần theo nhân công — mức 70%</t>
        </is>
      </c>
      <c r="B16" s="24">
        <f>IF(B11=0,0,B14*0.7/B11)</f>
        <v/>
      </c>
      <c r="C16" s="17" t="inlineStr">
        <is>
          <t>$/job</t>
        </is>
      </c>
    </row>
    <row r="18">
      <c r="A18" s="7" t="inlineStr">
        <is>
          <t>GIÁ BÁN CỦA BẠN</t>
        </is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14" t="inlineStr">
        <is>
          <t>★ Giá bán đề xuất ($ / job)</t>
        </is>
      </c>
      <c r="B19" s="29" t="n">
        <v>0.45</v>
      </c>
      <c r="C19" s="17" t="inlineStr">
        <is>
          <t>$/job</t>
        </is>
      </c>
      <c r="D19" s="47" t="inlineStr">
        <is>
          <t>≈11.700₫/job: &gt; giá sàn 3×, &lt; trần nhân công 50–70%; rẻ hơn Intercom $0,99 vì thị trường VN SMB</t>
        </is>
      </c>
    </row>
    <row r="20">
      <c r="A20" s="14" t="inlineStr">
        <is>
          <t>→ Bội số so với Cost/Job</t>
        </is>
      </c>
      <c r="B20" s="30">
        <f>IF(B5=0,0,B19/B5)</f>
        <v/>
      </c>
    </row>
    <row r="21" ht="15.75" customHeight="1" s="45">
      <c r="A21" s="12" t="inlineStr">
        <is>
          <t>→ GROSS MARGIN</t>
        </is>
      </c>
      <c r="B21" s="31">
        <f>IF(B19=0,0,(B19-B5)/B19)</f>
        <v/>
      </c>
      <c r="D21" s="48" t="inlineStr">
        <is>
          <t>GM 76,7% là GM TRỰC TIẾP (chưa gồm Overhead, 1_Cost_Job S8 = 0), nên cao hơn benchmark 53–65% (ICONIQ/Bessemer). Điền S8 để xem GM sau overhead ở 1_Cost_Job B67.</t>
        </is>
      </c>
    </row>
    <row r="22" ht="15.75" customHeight="1" s="45">
      <c r="A22" s="14" t="inlineStr">
        <is>
          <t>→ Đèn: bội số ≥ 3?</t>
        </is>
      </c>
      <c r="B22" s="8">
        <f>IF(B20&gt;=B6,"OK — ĐẠT","KHÔNG ĐẠT — quay lại tab 1")</f>
        <v/>
      </c>
    </row>
    <row r="23" ht="15.75" customHeight="1" s="45">
      <c r="A23" s="14" t="inlineStr">
        <is>
          <t>→ Đèn: Gross Margin</t>
        </is>
      </c>
      <c r="B23" s="8">
        <f>IF(B21&gt;=0.6,"OK — AN TOÀN (≥60%)",IF(B21&gt;=0.5,"CẢNH BÁO (50–60%)","NGUY HIỂM (&lt;50%)"))</f>
        <v/>
      </c>
    </row>
    <row r="24" ht="15.75" customHeight="1" s="45">
      <c r="A24" s="14" t="inlineStr">
        <is>
          <t>→ Đèn: GM có cao bất thường?</t>
        </is>
      </c>
      <c r="B24" s="8">
        <f>IF(B21&gt;0.85,"NGHI NGỜ — nhiều khả năng bạn quên một khoản chi phí","OK")</f>
        <v/>
      </c>
    </row>
    <row r="25" ht="15.75" customHeight="1" s="45">
      <c r="A25" s="14" t="inlineStr">
        <is>
          <t>→ Giá bán nằm trong vùng neo?</t>
        </is>
      </c>
      <c r="B25" s="8">
        <f>IF(AND(B19&gt;=B7,B19&lt;=MAX(B13,B16)),"OK — trong vùng giá bán","XEM LẠI — ngoài vùng giá sàn/trần")</f>
        <v/>
      </c>
    </row>
    <row r="26" ht="15.75" customHeight="1" s="45"/>
    <row r="27" ht="15.75" customHeight="1" s="45">
      <c r="A27" s="7" t="inlineStr">
        <is>
          <t>BREAKEVEN CONTAINMENT — ngưỡng sống còn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 ht="15.75" customHeight="1" s="45">
      <c r="A28" s="17" t="inlineStr">
        <is>
          <t>Ký hiệu: v = chi phí biến đổi / job thử · q = QA / job thử · e = chi phí 1 ca escalate</t>
        </is>
      </c>
    </row>
    <row r="29" ht="15.75" customHeight="1" s="45">
      <c r="A29" s="14" t="inlineStr">
        <is>
          <t>v — chi phí biến đổi / job thử</t>
        </is>
      </c>
      <c r="B29" s="20">
        <f>'1_Cost_Job'!B31+'1_Cost_Job'!B38+'1_Cost_Job'!B43+'1_Cost_Job'!B47</f>
        <v/>
      </c>
    </row>
    <row r="30" ht="15.75" customHeight="1" s="45">
      <c r="A30" s="14" t="inlineStr">
        <is>
          <t>q — QA nội bộ / job thử</t>
        </is>
      </c>
      <c r="B30" s="20">
        <f>'1_Cost_Job'!B51*('1_Cost_Job'!B52/60)*'1_Cost_Job'!B50</f>
        <v/>
      </c>
    </row>
    <row r="31" ht="15.75" customHeight="1" s="45">
      <c r="A31" s="14" t="inlineStr">
        <is>
          <t>e — chi phí 1 ca escalate</t>
        </is>
      </c>
      <c r="B31" s="20">
        <f>IF('1_Cost_Job'!B6="B",('1_Cost_Job'!B53/60)*'1_Cost_Job'!B50,0)</f>
        <v/>
      </c>
    </row>
    <row r="32" ht="15.75" customHeight="1" s="45">
      <c r="A32" s="14" t="inlineStr">
        <is>
          <t>Gross Margin mục tiêu</t>
        </is>
      </c>
      <c r="B32" s="16" t="n">
        <v>0.6</v>
      </c>
    </row>
    <row r="33" ht="15.75" customHeight="1" s="45">
      <c r="A33" s="12" t="inlineStr">
        <is>
          <t>★ Containment tối thiểu cần đạt</t>
        </is>
      </c>
      <c r="B33" s="31">
        <f>IF((B19*(1-B32)+B31)=0,0,(B29+B30+B31)/(B19*(1-B32)+B31))</f>
        <v/>
      </c>
      <c r="D33" s="17" t="inlineStr">
        <is>
          <t>Công thức: R ≥ (v+q+e) / (P×(1−GM)+e)</t>
        </is>
      </c>
    </row>
    <row r="34" ht="15.75" customHeight="1" s="45">
      <c r="A34" s="14" t="inlineStr">
        <is>
          <t>Containment hiện tại (từ tab 1)</t>
        </is>
      </c>
      <c r="B34" s="34">
        <f>'1_Cost_Job'!B10</f>
        <v/>
      </c>
    </row>
    <row r="35" ht="15.75" customHeight="1" s="45">
      <c r="A35" s="14" t="inlineStr">
        <is>
          <t>→ Kết luận</t>
        </is>
      </c>
      <c r="B35" s="8">
        <f>IF(B34&gt;=B33,"ĐẠT — mô hình có lãi lành mạnh","CHƯA ĐẠT — phải tăng containment, tăng giá, hoặc đổi biến thể HITL")</f>
        <v/>
      </c>
    </row>
    <row r="36" ht="15.75" customHeight="1" s="45"/>
    <row r="37" ht="15.75" customHeight="1" s="45">
      <c r="A37" s="7" t="inlineStr">
        <is>
          <t>SENSITIVITY — mô hình gãy ở đâu?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27" t="inlineStr">
        <is>
          <t>Containment</t>
        </is>
      </c>
      <c r="B38" s="27" t="inlineStr">
        <is>
          <t>Cost/Job</t>
        </is>
      </c>
      <c r="C38" s="27" t="inlineStr">
        <is>
          <t>Gross Margin</t>
        </is>
      </c>
      <c r="D38" s="27" t="inlineStr">
        <is>
          <t>Đánh giá</t>
        </is>
      </c>
    </row>
    <row r="39" ht="15.75" customHeight="1" s="45">
      <c r="A39" s="40" t="n">
        <v>0.5</v>
      </c>
      <c r="B39" s="24">
        <f>($B$29+$B$30+$B$31*(1-A39))/A39</f>
        <v/>
      </c>
      <c r="C39" s="28">
        <f>IF($B$19=0,0,1-B39/$B$19)</f>
        <v/>
      </c>
      <c r="D39" s="8">
        <f>IF(C39&gt;=0.6,"An toàn",IF(C39&gt;=0.5,"Cảnh báo","Nguy hiểm"))</f>
        <v/>
      </c>
    </row>
    <row r="40" ht="15.75" customHeight="1" s="45">
      <c r="A40" s="40" t="n">
        <v>0.6</v>
      </c>
      <c r="B40" s="24">
        <f>($B$29+$B$30+$B$31*(1-A40))/A40</f>
        <v/>
      </c>
      <c r="C40" s="28">
        <f>IF($B$19=0,0,1-B40/$B$19)</f>
        <v/>
      </c>
      <c r="D40" s="8">
        <f>IF(C40&gt;=0.6,"An toàn",IF(C40&gt;=0.5,"Cảnh báo","Nguy hiểm"))</f>
        <v/>
      </c>
    </row>
    <row r="41" ht="15.75" customHeight="1" s="45">
      <c r="A41" s="40" t="n">
        <v>0.7</v>
      </c>
      <c r="B41" s="24">
        <f>($B$29+$B$30+$B$31*(1-A41))/A41</f>
        <v/>
      </c>
      <c r="C41" s="28">
        <f>IF($B$19=0,0,1-B41/$B$19)</f>
        <v/>
      </c>
      <c r="D41" s="8">
        <f>IF(C41&gt;=0.6,"An toàn",IF(C41&gt;=0.5,"Cảnh báo","Nguy hiểm"))</f>
        <v/>
      </c>
    </row>
    <row r="42" ht="15.75" customHeight="1" s="45">
      <c r="A42" s="40" t="n">
        <v>0.8</v>
      </c>
      <c r="B42" s="24">
        <f>($B$29+$B$30+$B$31*(1-A42))/A42</f>
        <v/>
      </c>
      <c r="C42" s="28">
        <f>IF($B$19=0,0,1-B42/$B$19)</f>
        <v/>
      </c>
      <c r="D42" s="8">
        <f>IF(C42&gt;=0.6,"An toàn",IF(C42&gt;=0.5,"Cảnh báo","Nguy hiểm"))</f>
        <v/>
      </c>
    </row>
    <row r="43" ht="15.75" customHeight="1" s="45">
      <c r="A43" s="40" t="n">
        <v>0.9</v>
      </c>
      <c r="B43" s="24">
        <f>($B$29+$B$30+$B$31*(1-A43))/A43</f>
        <v/>
      </c>
      <c r="C43" s="28">
        <f>IF($B$19=0,0,1-B43/$B$19)</f>
        <v/>
      </c>
      <c r="D43" s="8">
        <f>IF(C43&gt;=0.6,"An toàn",IF(C43&gt;=0.5,"Cảnh báo","Nguy hiểm"))</f>
        <v/>
      </c>
    </row>
    <row r="44" ht="15.75" customHeight="1" s="45">
      <c r="A44" s="40" t="n">
        <v>0.95</v>
      </c>
      <c r="B44" s="24">
        <f>($B$29+$B$30+$B$31*(1-A44))/A44</f>
        <v/>
      </c>
      <c r="C44" s="28">
        <f>IF($B$19=0,0,1-B44/$B$19)</f>
        <v/>
      </c>
      <c r="D44" s="8">
        <f>IF(C44&gt;=0.6,"An toàn",IF(C44&gt;=0.5,"Cảnh báo","Nguy hiểm"))</f>
        <v/>
      </c>
    </row>
    <row r="45" ht="15.75" customHeight="1" s="45"/>
    <row r="46" ht="15.75" customHeight="1" s="45">
      <c r="A46" s="17" t="inlineStr">
        <is>
          <t>Nhìn cột Gross Margin: mô hình của bạn mong manh đến mức nào khi AI làm sai nhiều hơn dự kiến?</t>
        </is>
      </c>
    </row>
    <row r="47" ht="15.75" customHeight="1" s="45"/>
    <row r="48" ht="15.75" customHeight="1" s="45">
      <c r="A48" s="7" t="inlineStr">
        <is>
          <t>5 CON SỐ PHẢI MANG SANG ONE-PAGER</t>
        </is>
      </c>
      <c r="B48" s="10" t="n"/>
      <c r="C48" s="10" t="n"/>
      <c r="D48" s="10" t="n"/>
      <c r="E48" s="10" t="n"/>
      <c r="F48" s="10" t="n"/>
      <c r="G48" s="10" t="n"/>
      <c r="H48" s="10" t="n"/>
    </row>
    <row r="49" ht="15.75" customHeight="1" s="45">
      <c r="A49" s="12" t="inlineStr">
        <is>
          <t>Cost/Job</t>
        </is>
      </c>
      <c r="B49" s="23">
        <f>B5</f>
        <v/>
      </c>
    </row>
    <row r="50" ht="15.75" customHeight="1" s="45">
      <c r="A50" s="12" t="inlineStr">
        <is>
          <t>Giá sàn (3×)</t>
        </is>
      </c>
      <c r="B50" s="23">
        <f>B7</f>
        <v/>
      </c>
    </row>
    <row r="51" ht="15.75" customHeight="1" s="45">
      <c r="A51" s="12" t="inlineStr">
        <is>
          <t>Giá bán đề xuất</t>
        </is>
      </c>
      <c r="B51" s="23">
        <f>B19</f>
        <v/>
      </c>
    </row>
    <row r="52" ht="15.75" customHeight="1" s="45">
      <c r="A52" s="12" t="inlineStr">
        <is>
          <t>Gross Margin</t>
        </is>
      </c>
      <c r="B52" s="31">
        <f>B21</f>
        <v/>
      </c>
    </row>
    <row r="53" ht="15.75" customHeight="1" s="45">
      <c r="A53" s="12" t="inlineStr">
        <is>
          <t>Breakeven containment</t>
        </is>
      </c>
      <c r="B53" s="31">
        <f>B33</f>
        <v/>
      </c>
    </row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14.43" defaultRowHeight="15" customHeight="1"/>
  <cols>
    <col width="72" customWidth="1" style="45" min="1" max="1"/>
    <col width="12" customWidth="1" style="45" min="2" max="2"/>
    <col width="50" customWidth="1" style="45" min="3" max="3"/>
    <col width="46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3 — VALUE METRIC SCORECARD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2. Chấm 0 / 1 / 2 điểm cho mỗi câu, theo THỰC TẾ HÔM NAY.</t>
        </is>
      </c>
    </row>
    <row r="4">
      <c r="A4" s="7" t="inlineStr">
        <is>
          <t>A. ATTRIBUTION — bạn đo được kết quả là do AI tạo ra không?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1. Tôi có log đầy đủ mỗi job AI xử lý, gắn được với kết quả cuối cùng</t>
        </is>
      </c>
      <c r="B5" s="13" t="n">
        <v>2</v>
      </c>
    </row>
    <row r="6">
      <c r="A6" s="14" t="inlineStr">
        <is>
          <t>2. Tôi có bộ eval đo được tỷ lệ AI làm đúng, có số liệu</t>
        </is>
      </c>
      <c r="B6" s="13" t="n">
        <v>1</v>
      </c>
    </row>
    <row r="7">
      <c r="A7" s="14" t="inlineStr">
        <is>
          <t>3. Khách hàng đồng ý với cách tôi định nghĩa 'thành công' của một job</t>
        </is>
      </c>
      <c r="B7" s="13" t="n">
        <v>1</v>
      </c>
    </row>
    <row r="8">
      <c r="A8" s="14" t="inlineStr">
        <is>
          <t>4. Tôi phân biệt được kết quả do AI tạo ra với kết quả do yếu tố khác</t>
        </is>
      </c>
      <c r="B8" s="13" t="n">
        <v>1</v>
      </c>
    </row>
    <row r="9">
      <c r="A9" s="14" t="inlineStr">
        <is>
          <t>5. Tôi viết được định nghĩa chặt như Intercom: cái gì tính tiền, cái gì không</t>
        </is>
      </c>
      <c r="B9" s="13" t="n">
        <v>2</v>
      </c>
    </row>
    <row r="10">
      <c r="A10" s="12" t="inlineStr">
        <is>
          <t>→ ĐIỂM ATTRIBUTION (tối đa 10)</t>
        </is>
      </c>
      <c r="B10" s="18">
        <f>SUM(B5:B9)</f>
        <v/>
      </c>
    </row>
    <row r="12">
      <c r="A12" s="7" t="inlineStr">
        <is>
          <t>B. AUTONOMY — AI tự chạy hay cần người?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1. AI hoàn thành job từ đầu đến cuối, không cần người bấm nút giữa chừng</t>
        </is>
      </c>
      <c r="B13" s="13" t="n">
        <v>2</v>
      </c>
    </row>
    <row r="14">
      <c r="A14" s="14" t="inlineStr">
        <is>
          <t>2. Job chạy được ngoài giờ hành chính mà không ai trực</t>
        </is>
      </c>
      <c r="B14" s="13" t="n">
        <v>2</v>
      </c>
    </row>
    <row r="15">
      <c r="A15" s="14" t="inlineStr">
        <is>
          <t>3. Khi AI không chắc, nó tự chuyển tiếp đúng chỗ — không cần người phân loại</t>
        </is>
      </c>
      <c r="B15" s="13" t="n">
        <v>1</v>
      </c>
    </row>
    <row r="16">
      <c r="A16" s="14" t="inlineStr">
        <is>
          <t>4. Tỷ lệ ca phải có người can thiệp dưới 20%</t>
        </is>
      </c>
      <c r="B16" s="13" t="n">
        <v>1</v>
      </c>
    </row>
    <row r="17">
      <c r="A17" s="14" t="inlineStr">
        <is>
          <t>5. Người vận hành chỉ kiểm tra mẫu (QA), không xử lý từng ca</t>
        </is>
      </c>
      <c r="B17" s="13" t="n">
        <v>1</v>
      </c>
    </row>
    <row r="18">
      <c r="A18" s="12" t="inlineStr">
        <is>
          <t>→ ĐIỂM AUTONOMY (tối đa 10)</t>
        </is>
      </c>
      <c r="B18" s="18">
        <f>SUM(B13:B17)</f>
        <v/>
      </c>
    </row>
    <row r="20">
      <c r="A20" s="7" t="inlineStr">
        <is>
          <t>GỢI Ý CỦA MODEL</t>
        </is>
      </c>
      <c r="B20" s="10" t="n"/>
      <c r="C20" s="10" t="n"/>
      <c r="D20" s="10" t="n"/>
      <c r="E20" s="10" t="n"/>
      <c r="F20" s="10" t="n"/>
      <c r="G20" s="10" t="n"/>
      <c r="H20" s="10" t="n"/>
    </row>
    <row r="21" ht="15.75" customHeight="1" s="45">
      <c r="A21" s="12" t="inlineStr">
        <is>
          <t>→ Value Metric gợi ý</t>
        </is>
      </c>
      <c r="B21" s="26">
        <f>IF(AND(B10&gt;=7,B18&gt;=7),"OUTCOME",IF(AND(B10&gt;=7,B18&lt;7),"USAGE",IF(AND(B10&lt;7,B18&gt;=7),"USAGE (an toàn)","SEAT hoặc HYBRID")))</f>
        <v/>
      </c>
    </row>
    <row r="22" ht="15.75" customHeight="1" s="45">
      <c r="A22" s="17" t="inlineStr">
        <is>
          <t>Ngưỡng 7/10 là quy ước của bài tập, không phải chuẩn ngành — dùng để buộc bạn ra quyết định, không phải để thay bạn quyết định.</t>
        </is>
      </c>
    </row>
    <row r="23" ht="15.75" customHeight="1" s="45"/>
    <row r="24" ht="15.75" customHeight="1" s="45">
      <c r="A24" s="7" t="inlineStr">
        <is>
          <t>BENCHMARK NGƯỢC — 2 sản phẩm thật cùng loại job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 ht="15.75" customHeight="1" s="45">
      <c r="A25" s="27" t="inlineStr">
        <is>
          <t>Tên sản phẩm</t>
        </is>
      </c>
      <c r="B25" s="27" t="inlineStr">
        <is>
          <t>Value Metric</t>
        </is>
      </c>
      <c r="C25" s="27" t="inlineStr">
        <is>
          <t>Giá công bố</t>
        </is>
      </c>
      <c r="D25" s="27" t="inlineStr">
        <is>
          <t>Link nguồn</t>
        </is>
      </c>
    </row>
    <row r="26" ht="15.75" customHeight="1" s="45">
      <c r="A26" s="5" t="inlineStr">
        <is>
          <t>Intercom Fin</t>
        </is>
      </c>
      <c r="B26" s="5" t="inlineStr">
        <is>
          <t>Outcome (resolution)</t>
        </is>
      </c>
      <c r="C26" s="5" t="inlineStr">
        <is>
          <t>$0,99 / resolution</t>
        </is>
      </c>
      <c r="D26" s="5" t="inlineStr">
        <is>
          <t>https://fin.ai/pricing/</t>
        </is>
      </c>
    </row>
    <row r="27" ht="15.75" customHeight="1" s="45">
      <c r="A27" s="5" t="inlineStr">
        <is>
          <t>Zendesk AI Agents</t>
        </is>
      </c>
      <c r="B27" s="5" t="inlineStr">
        <is>
          <t>Outcome (automated resolution)</t>
        </is>
      </c>
      <c r="C27" s="5" t="inlineStr">
        <is>
          <t>$1,50 / automated resolution</t>
        </is>
      </c>
      <c r="D27" s="46" t="inlineStr">
        <is>
          <t>https://www.zendesk.com/blog/ai/agentic-ai/outcome-based-pricing/</t>
        </is>
      </c>
    </row>
    <row r="28" ht="15.75" customHeight="1" s="45"/>
    <row r="29" ht="15.75" customHeight="1" s="45">
      <c r="A29" s="7" t="inlineStr">
        <is>
          <t>QUYẾT ĐỊNH CUỐI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 ht="15.75" customHeight="1" s="45">
      <c r="A30" s="14" t="inlineStr">
        <is>
          <t>Value Metric tôi chọn</t>
        </is>
      </c>
      <c r="B30" s="5" t="inlineStr">
        <is>
          <t>Outcome</t>
        </is>
      </c>
    </row>
    <row r="31" ht="15.75" customHeight="1" s="45">
      <c r="A31" s="14" t="inlineStr">
        <is>
          <t>Nếu KHÁC gợi ý — lý do thị trường là gì?</t>
        </is>
      </c>
      <c r="B31" s="46" t="inlineStr">
        <is>
          <t>Không lệch gợi ý (OUTCOME; Attribution 7/10, Autonomy 7/10, cả hai sát ngưỡng). Rủi ro thị trường: SME Việt Nam quen trả theo gói cố định hoặc theo mức dùng hơn là theo kết quả. Dự phòng: nếu pilot cho thấy shop ngại, chuyển sang Hybrid (phí nền nhỏ + $/job).</t>
        </is>
      </c>
    </row>
    <row r="32" ht="15.75" customHeight="1" s="45">
      <c r="A32" s="14" t="inlineStr">
        <is>
          <t>Decision Note — câu 1: tôi chọn đơn vị nào?</t>
        </is>
      </c>
      <c r="B32" s="46" t="inlineStr">
        <is>
          <t>Tính tiền theo 1 hội thoại được giải quyết xong (khách có đơn hoặc không hỏi lại trong 24h). Seat không hợp vì shop SMB không có "người dùng" cố định; Usage (token) khách không hiểu.</t>
        </is>
      </c>
    </row>
    <row r="33" ht="15.75" customHeight="1" s="45">
      <c r="A33" s="14" t="inlineStr">
        <is>
          <t>Decision Note — câu 2: bằng chứng Attribution / Autonomy?</t>
        </is>
      </c>
      <c r="B33" s="46" t="inlineStr">
        <is>
          <t>Attribution: log 100% hội thoại + gắn được với đơn hàng (2đ); eval mới ở mức ước tính (1đ). Autonomy: chạy 24/7 không cần người trực (2đ), ~18% ca chuyển người.</t>
        </is>
      </c>
    </row>
    <row r="34" ht="15.75" customHeight="1" s="45">
      <c r="A34" s="14" t="inlineStr">
        <is>
          <t>Decision Note — câu 3: mô hình này lỗ trong tình huống nào?</t>
        </is>
      </c>
      <c r="B34" s="46" t="inlineStr">
        <is>
          <t>Lỗ khi containment &lt; ~63%: mỗi ca escalate tốn ~$0,30 nhân công (6 phút × $3/giờ) mà Biến thể B do mình chịu → GM tụt dưới 50% (xem 2_Pricing B39:C44).</t>
        </is>
      </c>
    </row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4 — CHANNEL FIT &amp; AFFORDABILITY TEST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4. Chọn ĐÚNG 1 kênh cho 90 ngày đầu — và chứng minh bằng số.</t>
        </is>
      </c>
    </row>
    <row r="4">
      <c r="A4" s="7" t="inlineStr">
        <is>
          <t>A. NGÂN SÁCH CAC — bạn nuôi nổi kênh nào?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ARPU / tháng ($)</t>
        </is>
      </c>
      <c r="B5" s="25" t="n">
        <v>180</v>
      </c>
      <c r="D5" s="48">
        <f> $0,45 × 400 job/tháng của 1 shop (2_Pricing B19 × B11)</f>
        <v/>
      </c>
    </row>
    <row r="6">
      <c r="A6" s="14" t="inlineStr">
        <is>
          <t>Gross Margin (từ tab 2_Pricing)</t>
        </is>
      </c>
      <c r="B6" s="34">
        <f>'2_Pricing'!B21</f>
        <v/>
      </c>
    </row>
    <row r="7">
      <c r="A7" s="14" t="inlineStr">
        <is>
          <t>Phân khúc (SMB / Mid / Enterprise)</t>
        </is>
      </c>
      <c r="B7" s="13" t="inlineStr">
        <is>
          <t>SMB</t>
        </is>
      </c>
    </row>
    <row r="8">
      <c r="A8" s="14" t="inlineStr">
        <is>
          <t>→ CAC payback cho phép (tháng)</t>
        </is>
      </c>
      <c r="B8" s="19">
        <f>IF(B7="SMB",12,IF(B7="Mid",18,24))</f>
        <v/>
      </c>
      <c r="C8" s="17" t="inlineStr">
        <is>
          <t>tháng</t>
        </is>
      </c>
      <c r="D8" s="17" t="inlineStr">
        <is>
          <t>Bessemer, Scaling to $100M (2024)</t>
        </is>
      </c>
    </row>
    <row r="9">
      <c r="A9" s="12" t="inlineStr">
        <is>
          <t>★ NGÂN SÁCH CAC / khách</t>
        </is>
      </c>
      <c r="B9" s="35">
        <f>B5*B6*B8</f>
        <v/>
      </c>
      <c r="D9" s="17" t="inlineStr">
        <is>
          <t>ARPU × GM × số tháng payback</t>
        </is>
      </c>
    </row>
    <row r="10">
      <c r="A10" s="14" t="inlineStr">
        <is>
          <t>→ ACV (giá trị hợp đồng / năm)</t>
        </is>
      </c>
      <c r="B10" s="37">
        <f>B5*12</f>
        <v/>
      </c>
    </row>
    <row r="12">
      <c r="A12" s="7" t="inlineStr">
        <is>
          <t>B. SALES VIABILITY — một AE phải chốt bao nhiêu deal?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Quota / AE / năm ($)</t>
        </is>
      </c>
      <c r="B13" s="25" t="n">
        <v>500000</v>
      </c>
      <c r="D13" s="17" t="inlineStr">
        <is>
          <t>Giả định gốc của Tunguz (2016) — thay bằng số thị trường bạn</t>
        </is>
      </c>
    </row>
    <row r="14">
      <c r="A14" s="14" t="inlineStr">
        <is>
          <t>Số ngày làm việc / năm</t>
        </is>
      </c>
      <c r="B14" s="15" t="n">
        <v>250</v>
      </c>
      <c r="C14" s="17" t="inlineStr">
        <is>
          <t>ngày</t>
        </is>
      </c>
    </row>
    <row r="15">
      <c r="A15" s="14" t="inlineStr">
        <is>
          <t>→ Số deal / AE / năm</t>
        </is>
      </c>
      <c r="B15" s="19">
        <f>IF(B10=0,0,B13/B10)</f>
        <v/>
      </c>
    </row>
    <row r="16">
      <c r="A16" s="12" t="inlineStr">
        <is>
          <t>★ Số deal / AE / NGÀY</t>
        </is>
      </c>
      <c r="B16" s="38">
        <f>IF(B14=0,0,B15/B14)</f>
        <v/>
      </c>
      <c r="C16" s="17" t="inlineStr">
        <is>
          <t>deal/ngày</t>
        </is>
      </c>
    </row>
    <row r="17">
      <c r="A17" s="14" t="inlineStr">
        <is>
          <t>→ Kết luận Sales-Led</t>
        </is>
      </c>
      <c r="B17" s="8">
        <f>IF(B16&lt;=1,"KHẢ THI về mặt số học","BẤT KHẢ THI — ACV quá thấp để nuôi sales rep")</f>
        <v/>
      </c>
    </row>
    <row r="19">
      <c r="A19" s="7" t="inlineStr">
        <is>
          <t>C. ĐỐI CHIẾU CAC THỰC TẾ CỦA MOTION CÓ SALES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14" t="inlineStr">
        <is>
          <t>Cost per opportunity ($)</t>
        </is>
      </c>
      <c r="B20" s="25" t="n">
        <v>6300</v>
      </c>
      <c r="D20" s="47" t="inlineStr">
        <is>
          <t>ICONIQ 2026: SMB = $6.300 (ba mức $6.300 · $8.000 · $11.200 theo phân khúc)</t>
        </is>
      </c>
    </row>
    <row r="21" ht="15.75" customHeight="1" s="45">
      <c r="A21" s="14" t="inlineStr">
        <is>
          <t>Win rate</t>
        </is>
      </c>
      <c r="B21" s="16" t="n">
        <v>0.25</v>
      </c>
    </row>
    <row r="22" ht="15.75" customHeight="1" s="45">
      <c r="A22" s="14" t="inlineStr">
        <is>
          <t>→ CAC thực tế ước tính / khách</t>
        </is>
      </c>
      <c r="B22" s="37">
        <f>IF(B21=0,0,B20/B21)</f>
        <v/>
      </c>
    </row>
    <row r="23" ht="15.75" customHeight="1" s="45">
      <c r="A23" s="12" t="inlineStr">
        <is>
          <t>★ Lệch bao nhiêu lần so với ngân sách CAC?</t>
        </is>
      </c>
      <c r="B23" s="39">
        <f>IF(B9=0,0,B22/B9)</f>
        <v/>
      </c>
      <c r="D23" s="17" t="inlineStr">
        <is>
          <t>Đây là bằng chứng chọn kênh của bạn</t>
        </is>
      </c>
    </row>
    <row r="24" ht="15.75" customHeight="1" s="45">
      <c r="A24" s="14" t="inlineStr">
        <is>
          <t>→ Kết luận</t>
        </is>
      </c>
      <c r="B24" s="8">
        <f>IF(B23&lt;=1,"Motion có sales KHẢ THI",IF(B23&lt;=3,"Căng — cần tăng giá hoặc giảm chi phí bán hàng","KHÔNG KHẢ THI — đi PLG hoặc Partner-Led"))</f>
        <v/>
      </c>
    </row>
    <row r="25" ht="15.75" customHeight="1" s="45"/>
    <row r="26" ht="15.75" customHeight="1" s="45">
      <c r="A26" s="7" t="inlineStr">
        <is>
          <t>D. CHẤM ĐIỂM 3 KÊNH (1 = rất kém, 5 = rất tốt)</t>
        </is>
      </c>
      <c r="B26" s="10" t="n"/>
      <c r="C26" s="10" t="n"/>
      <c r="D26" s="10" t="n"/>
      <c r="E26" s="10" t="n"/>
      <c r="F26" s="10" t="n"/>
      <c r="G26" s="10" t="n"/>
      <c r="H26" s="10" t="n"/>
    </row>
    <row r="27" ht="15.75" customHeight="1" s="45">
      <c r="A27" s="27" t="inlineStr">
        <is>
          <t>Tiêu chí</t>
        </is>
      </c>
      <c r="B27" s="27" t="inlineStr">
        <is>
          <t>PLG</t>
        </is>
      </c>
      <c r="C27" s="27" t="inlineStr">
        <is>
          <t>Sales-Led</t>
        </is>
      </c>
      <c r="D27" s="27" t="inlineStr">
        <is>
          <t>Partner-Led</t>
        </is>
      </c>
    </row>
    <row r="28" ht="15.75" customHeight="1" s="45">
      <c r="A28" s="14" t="inlineStr">
        <is>
          <t>1. Ngân sách CAC của tôi nuôi nổi kênh này</t>
        </is>
      </c>
      <c r="B28" s="13" t="n">
        <v>4</v>
      </c>
      <c r="C28" s="13" t="n">
        <v>1</v>
      </c>
      <c r="D28" s="13" t="n">
        <v>5</v>
      </c>
    </row>
    <row r="29" ht="15.75" customHeight="1" s="45">
      <c r="A29" s="14" t="inlineStr">
        <is>
          <t>2. Khách hàng mục tiêu thực sự mua theo cách này</t>
        </is>
      </c>
      <c r="B29" s="13" t="n">
        <v>3</v>
      </c>
      <c r="C29" s="13" t="n">
        <v>2</v>
      </c>
      <c r="D29" s="13" t="n">
        <v>4</v>
      </c>
    </row>
    <row r="30" ht="15.75" customHeight="1" s="45">
      <c r="A30" s="14" t="inlineStr">
        <is>
          <t>3. Đội hiện tại có năng lực chạy kênh này ngay</t>
        </is>
      </c>
      <c r="B30" s="13" t="n">
        <v>3</v>
      </c>
      <c r="C30" s="13" t="n">
        <v>3</v>
      </c>
      <c r="D30" s="13" t="n">
        <v>3</v>
      </c>
    </row>
    <row r="31" ht="15.75" customHeight="1" s="45">
      <c r="A31" s="14" t="inlineStr">
        <is>
          <t>4. Tôi tiếp cận được điểm nhúng / partner trong 30 ngày</t>
        </is>
      </c>
      <c r="B31" s="13" t="n">
        <v>4</v>
      </c>
      <c r="C31" s="13" t="n">
        <v>3</v>
      </c>
      <c r="D31" s="13" t="n">
        <v>3</v>
      </c>
    </row>
    <row r="32" ht="15.75" customHeight="1" s="45">
      <c r="A32" s="14" t="inlineStr">
        <is>
          <t>5. Kênh này đưa tôi đến ĐÚNG Pain Moment</t>
        </is>
      </c>
      <c r="B32" s="13" t="n">
        <v>3</v>
      </c>
      <c r="C32" s="13" t="n">
        <v>2</v>
      </c>
      <c r="D32" s="13" t="n">
        <v>5</v>
      </c>
    </row>
    <row r="33" ht="15.75" customHeight="1" s="45">
      <c r="A33" s="14" t="inlineStr">
        <is>
          <t>6. Tôi đo được hiệu quả trong vòng 90 ngày</t>
        </is>
      </c>
      <c r="B33" s="13" t="n">
        <v>4</v>
      </c>
      <c r="C33" s="13" t="n">
        <v>3</v>
      </c>
      <c r="D33" s="13" t="n">
        <v>4</v>
      </c>
    </row>
    <row r="34" ht="15.75" customHeight="1" s="45">
      <c r="A34" s="12" t="inlineStr">
        <is>
          <t>→ TỔNG ĐIỂM</t>
        </is>
      </c>
      <c r="B34" s="26">
        <f>SUM(B28:B33)</f>
        <v/>
      </c>
      <c r="C34" s="26">
        <f>SUM(C28:C33)</f>
        <v/>
      </c>
      <c r="D34" s="26">
        <f>SUM(D28:D33)</f>
        <v/>
      </c>
    </row>
    <row r="35" ht="15.75" customHeight="1" s="45">
      <c r="A35" s="12" t="inlineStr">
        <is>
          <t>→ Kênh điểm cao nhất</t>
        </is>
      </c>
      <c r="B35" s="26">
        <f>IF(AND(B34&gt;=C34,B34&gt;=D34),"PLG",IF(C34&gt;=D34,"Sales-Led","Partner-Led"))</f>
        <v/>
      </c>
    </row>
    <row r="36" ht="15.75" customHeight="1" s="45"/>
    <row r="37" ht="15.75" customHeight="1" s="45">
      <c r="A37" s="7" t="inlineStr">
        <is>
          <t>E. CHỐT KÊNH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14" t="inlineStr">
        <is>
          <t>★ Kênh tôi chọn cho 90 ngày đầu</t>
        </is>
      </c>
      <c r="B38" s="5" t="inlineStr">
        <is>
          <t>Partner-Led</t>
        </is>
      </c>
      <c r="D38" s="17" t="inlineStr">
        <is>
          <t>ĐÚNG 1 kênh. Chọn 2 kênh trở lên bị trừ điểm.</t>
        </is>
      </c>
    </row>
    <row r="39" ht="15.75" customHeight="1" s="45">
      <c r="A39" s="14" t="inlineStr">
        <is>
          <t>Nếu Partner-Led: TÊN CÔNG TY partner</t>
        </is>
      </c>
      <c r="B39" s="46" t="inlineStr">
        <is>
          <t>Haravan (App Store của nền tảng bán hàng; dự phòng: Sapo)</t>
        </is>
      </c>
      <c r="D39" s="17" t="inlineStr">
        <is>
          <t>'Các nền tảng trong ngành' = chưa có kênh</t>
        </is>
      </c>
    </row>
    <row r="40" ht="15.75" customHeight="1" s="45">
      <c r="A40" s="14" t="inlineStr">
        <is>
          <t>Đã nói chuyện với họ chưa? (Rồi / Chưa)</t>
        </is>
      </c>
      <c r="B40" s="5" t="inlineStr">
        <is>
          <t>Chưa</t>
        </is>
      </c>
    </row>
    <row r="41" ht="15.75" customHeight="1" s="45">
      <c r="A41" s="14" t="inlineStr">
        <is>
          <t>Bạn mang lại giá trị gì cho partner?</t>
        </is>
      </c>
      <c r="B41" s="46" t="inlineStr">
        <is>
          <t>Merchant của họ có thêm công cụ CSKH 24/7 giúp tăng đơn → giảm churn cho Haravan; chia sẻ doanh thu 20% giá mỗi job; app cài 1 chạm, không tốn công tích hợp.</t>
        </is>
      </c>
    </row>
    <row r="42" ht="15.75" customHeight="1" s="45">
      <c r="A42" s="14" t="inlineStr">
        <is>
          <t>Nếu rơi vào vùng không khả thi — lối thoát nào?</t>
        </is>
      </c>
      <c r="B42" s="46" t="inlineStr">
        <is>
          <t>Nếu Haravan/Sapo không nhận trong 30 ngày → PLG: bot tự cài qua Facebook Messenger + Zalo OA, trả theo job, không cần sales.</t>
        </is>
      </c>
      <c r="D42" s="17" t="inlineStr">
        <is>
          <t>Giảm giá để tự phục vụ / tăng giá + service / Partner-Led</t>
        </is>
      </c>
    </row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7" showDropDown="0" showInputMessage="0" showErrorMessage="0" allowBlank="1" type="list">
      <formula1>"SMB,Mid,Enterprise"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45" min="1" max="1"/>
    <col width="34" customWidth="1" style="45" min="2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5 — PAIN MOMENT · 90-DAY PLAN · EVIDENCE PACK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5 và Trạm 6.</t>
        </is>
      </c>
    </row>
    <row r="4">
      <c r="A4" s="7" t="inlineStr">
        <is>
          <t>A. PAIN MOMENT — phải đủ 3 phần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MẤY GIỜ khách đau nhất?</t>
        </is>
      </c>
      <c r="B5" s="46" t="inlineStr">
        <is>
          <t>22:30 đêm (sau giờ đóng cửa, chủ shop đã ngủ / nghỉ)</t>
        </is>
      </c>
    </row>
    <row r="6">
      <c r="A6" s="14" t="inlineStr">
        <is>
          <t>Lúc đó họ ĐANG LÀM GÌ?</t>
        </is>
      </c>
      <c r="B6" s="46" t="inlineStr">
        <is>
          <t>Khách đang nhắn hỏi size, giá, tồn kho, phí ship để quyết định chốt đơn; chủ shop không trả lời kịp → khách sang shop khác</t>
        </is>
      </c>
    </row>
    <row r="7">
      <c r="A7" s="14" t="inlineStr">
        <is>
          <t>Họ đang DÙNG APP / KÊNH NÀO?</t>
        </is>
      </c>
      <c r="B7" s="46" t="inlineStr">
        <is>
          <t>Facebook Messenger và Zalo OA, shop quản lý đơn trên Haravan</t>
        </is>
      </c>
    </row>
    <row r="8">
      <c r="A8" s="14" t="inlineStr">
        <is>
          <t>→ Điểm nhúng cụ thể của bạn</t>
        </is>
      </c>
      <c r="B8" s="46" t="inlineStr">
        <is>
          <t>App cài từ Haravan App Store, tự trả lời trong hộp thoại Messenger + Zalo OA đã kết nối với shop (đọc tồn kho/đơn từ Haravan)</t>
        </is>
      </c>
      <c r="D8" s="17" t="inlineStr">
        <is>
          <t>Một bề mặt tích hợp có tên, không phải 'website của chúng tôi'</t>
        </is>
      </c>
    </row>
    <row r="10">
      <c r="A10" s="7" t="inlineStr">
        <is>
          <t>B. 90-DAY PLAN</t>
        </is>
      </c>
      <c r="B10" s="10" t="n"/>
      <c r="C10" s="10" t="n"/>
      <c r="D10" s="10" t="n"/>
      <c r="E10" s="10" t="n"/>
      <c r="F10" s="10" t="n"/>
      <c r="G10" s="10" t="n"/>
      <c r="H10" s="10" t="n"/>
    </row>
    <row r="11">
      <c r="A11" s="27" t="n"/>
      <c r="B11" s="27" t="inlineStr">
        <is>
          <t>THÁNG 1 — Học</t>
        </is>
      </c>
      <c r="C11" s="27" t="inlineStr">
        <is>
          <t>THÁNG 2–3 — Đòn bẩy</t>
        </is>
      </c>
      <c r="D11" s="27" t="inlineStr">
        <is>
          <t>THÁNG 4+ — Mở rộng</t>
        </is>
      </c>
    </row>
    <row r="12" ht="30" customHeight="1" s="45">
      <c r="A12" s="14" t="inlineStr">
        <is>
          <t>Kênh sử dụng</t>
        </is>
      </c>
      <c r="B12" s="46" t="inlineStr">
        <is>
          <t>Chưa có kênh — phỏng vấn 15 shop (Messenger/Zalo) + xin gặp Haravan</t>
        </is>
      </c>
      <c r="C12" s="46" t="inlineStr">
        <is>
          <t>Partner-Led: Haravan App Store (pilot 5 shop)</t>
        </is>
      </c>
      <c r="D12" s="46" t="inlineStr">
        <is>
          <t>Partner-Led: Haravan; thêm Sapo nếu pilot đạt</t>
        </is>
      </c>
    </row>
    <row r="13" ht="30" customHeight="1" s="45">
      <c r="A13" s="14" t="inlineStr">
        <is>
          <t>Mục tiêu số khách</t>
        </is>
      </c>
      <c r="B13" s="46" t="inlineStr">
        <is>
          <t>0 khách trả tiền; 5 shop đồng ý pilot</t>
        </is>
      </c>
      <c r="C13" s="46" t="inlineStr">
        <is>
          <t>10 khách trả tiền</t>
        </is>
      </c>
      <c r="D13" s="46" t="inlineStr">
        <is>
          <t>30 khách trả tiền</t>
        </is>
      </c>
    </row>
    <row r="14" ht="30" customHeight="1" s="45">
      <c r="A14" s="14" t="inlineStr">
        <is>
          <t>Việc cụ thể 1</t>
        </is>
      </c>
      <c r="B14" s="46" t="inlineStr">
        <is>
          <t>Phỏng vấn 15 chủ shop về giờ đau nhất, xác nhận Pain Moment</t>
        </is>
      </c>
      <c r="C14" s="46" t="inlineStr">
        <is>
          <t>Nộp hồ sơ app + demo cho Haravan; cài app cho 5 shop pilot</t>
        </is>
      </c>
      <c r="D14" s="46" t="inlineStr">
        <is>
          <t>Mở rộng sang 2 ngành (thời trang, mỹ phẩm)</t>
        </is>
      </c>
    </row>
    <row r="15" ht="30" customHeight="1" s="45">
      <c r="A15" s="14" t="inlineStr">
        <is>
          <t>Việc cụ thể 2</t>
        </is>
      </c>
      <c r="B15" s="46" t="inlineStr">
        <is>
          <t>Chạy eval 200 hội thoại thật → đo containment</t>
        </is>
      </c>
      <c r="C15" s="46" t="inlineStr">
        <is>
          <t>Đo containment/HITL/Cost/Job trên pilot, so với model</t>
        </is>
      </c>
      <c r="D15" s="46" t="inlineStr">
        <is>
          <t>Thử gói trả trước theo bậc job</t>
        </is>
      </c>
    </row>
    <row r="16" ht="30" customHeight="1" s="45">
      <c r="A16" s="14" t="inlineStr">
        <is>
          <t>Việc cụ thể 3</t>
        </is>
      </c>
      <c r="B16" s="46" t="inlineStr">
        <is>
          <t>Liên hệ bộ phận đối tác Haravan</t>
        </is>
      </c>
      <c r="C16" s="46" t="inlineStr">
        <is>
          <t>Viết Pilot Report + Risk Checklist</t>
        </is>
      </c>
      <c r="D16" s="46" t="inlineStr">
        <is>
          <t>Thêm Sapo như partner thứ hai</t>
        </is>
      </c>
    </row>
    <row r="17" ht="30" customHeight="1" s="45">
      <c r="A17" s="14" t="inlineStr">
        <is>
          <t>KPI đo được</t>
        </is>
      </c>
      <c r="B17" s="46" t="inlineStr">
        <is>
          <t>≥ 10 phỏng vấn xong; containment đo được</t>
        </is>
      </c>
      <c r="C17" s="46" t="inlineStr">
        <is>
          <t>Containment ≥ 80%; GM ≥ 60%; CAC &lt; $1.657</t>
        </is>
      </c>
      <c r="D17" s="46" t="inlineStr">
        <is>
          <t>CAC payback ≤ 12 tháng; churn &lt; 5%/tháng</t>
        </is>
      </c>
    </row>
    <row r="18" ht="30" customHeight="1" s="45">
      <c r="A18" s="14" t="inlineStr">
        <is>
          <t>Người chịu trách nhiệm</t>
        </is>
      </c>
      <c r="B18" s="46" t="inlineStr">
        <is>
          <t>Ngô Lê Thuỷ Tiên</t>
        </is>
      </c>
      <c r="C18" s="46" t="inlineStr">
        <is>
          <t>Ngô Lê Thuỷ Tiên</t>
        </is>
      </c>
      <c r="D18" s="46" t="inlineStr">
        <is>
          <t>Ngô Lê Thuỷ Tiên</t>
        </is>
      </c>
    </row>
    <row r="19">
      <c r="A19" s="17" t="inlineStr">
        <is>
          <t>Tháng 1 là giai đoạn HỌC, không phải scale. Kế hoạch 'tháng 1 lấy 200 khách ở 5 ngành' là kế hoạch chưa ai từng thử làm.</t>
        </is>
      </c>
    </row>
    <row r="21" ht="15.75" customHeight="1" s="45">
      <c r="A21" s="7" t="inlineStr">
        <is>
          <t>C. EVIDENCE PACK — 3 tài sản bán hàng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 ht="15.75" customHeight="1" s="45">
      <c r="A22" s="27" t="inlineStr">
        <is>
          <t>Tài sản</t>
        </is>
      </c>
      <c r="B22" s="27" t="inlineStr">
        <is>
          <t>Đã có? (Rồi/Chưa)</t>
        </is>
      </c>
      <c r="C22" s="27" t="inlineStr">
        <is>
          <t>Nội dung 1 câu — hoặc việc cần làm</t>
        </is>
      </c>
      <c r="D22" s="27" t="inlineStr">
        <is>
          <t>Người phụ trách · Deadline</t>
        </is>
      </c>
    </row>
    <row r="23" ht="33.75" customHeight="1" s="45">
      <c r="A23" s="14" t="inlineStr">
        <is>
          <t xml:space="preserve">1. Eval Results </t>
        </is>
      </c>
      <c r="B23" s="46" t="inlineStr">
        <is>
          <t>Chưa</t>
        </is>
      </c>
      <c r="C23" s="46" t="inlineStr">
        <is>
          <t>Chạy 200 hội thoại thật, báo cáo: xử lý đúng ___%, còn lại chuyển người.</t>
        </is>
      </c>
      <c r="D23" s="46" t="inlineStr">
        <is>
          <t>Ngô Lê Thuỷ Tiên · 22/10/2026</t>
        </is>
      </c>
    </row>
    <row r="24" ht="33.75" customHeight="1" s="45">
      <c r="A24" s="14" t="inlineStr">
        <is>
          <t xml:space="preserve">2. Risk Checklist </t>
        </is>
      </c>
      <c r="B24" s="46" t="inlineStr">
        <is>
          <t>Chưa</t>
        </is>
      </c>
      <c r="C24" s="46" t="inlineStr">
        <is>
          <t>Trả lời 3 câu: AI có bịa không? Data có dùng train model không? Startup dừng thì data ở đâu?</t>
        </is>
      </c>
      <c r="D24" s="46" t="inlineStr">
        <is>
          <t>Ngô Lê Thuỷ Tiên · 29/10/2026</t>
        </is>
      </c>
    </row>
    <row r="25" ht="33.75" customHeight="1" s="45">
      <c r="A25" s="14" t="inlineStr">
        <is>
          <t>3. Pilot Report</t>
        </is>
      </c>
      <c r="B25" s="46" t="inlineStr">
        <is>
          <t>Chưa</t>
        </is>
      </c>
      <c r="C25" s="46" t="inlineStr">
        <is>
          <t>Pilot 5 shop trong 4 tuần: số hội thoại, tỷ lệ xong, tiền tiết kiệm.</t>
        </is>
      </c>
      <c r="D25" s="46" t="inlineStr">
        <is>
          <t>Ngô Lê Thuỷ Tiên · 30/11/2026</t>
        </is>
      </c>
    </row>
    <row r="26" ht="15.75" customHeight="1" s="45">
      <c r="A26" s="17" t="inlineStr">
        <is>
          <t>Ô nào CHƯA CÓ thì ghi deadline — đừng bỏ trống. Thành thật về khoảng trống được điểm cao hơn bịa nội dung.</t>
        </is>
      </c>
    </row>
    <row r="27" ht="15.75" customHeight="1" s="45"/>
    <row r="28" ht="15.75" customHeight="1" s="45">
      <c r="A28" s="7" t="inlineStr">
        <is>
          <t>D. BÀI TEST NGƯỜI LẠ — nhóm khác đọc One-Pager trong 2 phút</t>
        </is>
      </c>
      <c r="B28" s="10" t="n"/>
      <c r="C28" s="10" t="n"/>
      <c r="D28" s="10" t="n"/>
      <c r="E28" s="10" t="n"/>
      <c r="F28" s="10" t="n"/>
      <c r="G28" s="10" t="n"/>
      <c r="H28" s="10" t="n"/>
    </row>
    <row r="29" ht="15.75" customHeight="1" s="45">
      <c r="A29" s="14" t="inlineStr">
        <is>
          <t>Họ trả lời được: bán gì, cho ai, tính tiền theo đơn vị nào? (Được/Không)</t>
        </is>
      </c>
      <c r="B29" s="5" t="n"/>
    </row>
    <row r="30" ht="15.75" customHeight="1" s="45">
      <c r="A30" s="14" t="inlineStr">
        <is>
          <t>Họ trả lời được: có lãi trên mỗi đơn vị không, số nào chứng minh? (Được/Không)</t>
        </is>
      </c>
      <c r="B30" s="5" t="n"/>
    </row>
    <row r="31" ht="15.75" customHeight="1" s="45">
      <c r="A31" s="14" t="inlineStr">
        <is>
          <t>Họ trả lời được: tiếp cận khách qua đâu, vì sao kênh đó? (Được/Không)</t>
        </is>
      </c>
      <c r="B31" s="5" t="n"/>
    </row>
    <row r="32" ht="15.75" customHeight="1" s="45">
      <c r="A32" s="14" t="inlineStr">
        <is>
          <t>Số câu họ phải hỏi lại (mục tiêu ≤ 3)</t>
        </is>
      </c>
      <c r="B32" s="5" t="n"/>
    </row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45" min="1" max="1"/>
    <col width="30" customWidth="1" style="45" min="2" max="2"/>
    <col width="20" customWidth="1" style="45" min="3" max="3"/>
    <col width="16" customWidth="1" style="45" min="4" max="4"/>
    <col width="56" customWidth="1" style="45" min="5" max="5"/>
    <col width="15" customWidth="1" style="45" min="6" max="8"/>
    <col width="8.710000000000001" customWidth="1" style="45" min="9" max="26"/>
  </cols>
  <sheetData>
    <row r="1" ht="24" customHeight="1" s="45">
      <c r="A1" s="1" t="inlineStr">
        <is>
          <t>TAB 6 — BENCHMARKS (CHỈ ĐỌC)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Giá chốt ngày 26/08/2026. Dòng có ⏳ là GIÁ KHUYẾN MẠI CÓ HẠN — phải kiểm tra lại.</t>
        </is>
      </c>
    </row>
    <row r="3">
      <c r="A3" s="14" t="inlineStr">
        <is>
          <t>NGÀY BẠN KIỂM TRA LẠI GIÁ</t>
        </is>
      </c>
      <c r="B3" s="5" t="n"/>
      <c r="D3" s="17" t="inlineStr">
        <is>
          <t>Bắt buộc điền — Rubric có chấm mục này</t>
        </is>
      </c>
    </row>
    <row r="5">
      <c r="A5" s="42" t="inlineStr">
        <is>
          <t>Nhóm</t>
        </is>
      </c>
      <c r="B5" s="42" t="inlineStr">
        <is>
          <t>Mục</t>
        </is>
      </c>
      <c r="C5" s="42" t="inlineStr">
        <is>
          <t>Giá</t>
        </is>
      </c>
      <c r="D5" s="42" t="inlineStr">
        <is>
          <t>Đơn vị</t>
        </is>
      </c>
      <c r="E5" s="42" t="inlineStr">
        <is>
          <t>Nguồn</t>
        </is>
      </c>
    </row>
    <row r="6">
      <c r="A6" s="43" t="inlineStr">
        <is>
          <t>LLM</t>
        </is>
      </c>
      <c r="B6" s="43" t="inlineStr">
        <is>
          <t>Claude Opus 5 — input / output</t>
        </is>
      </c>
      <c r="C6" s="43" t="inlineStr">
        <is>
          <t>5,00 / 25,00</t>
        </is>
      </c>
      <c r="D6" s="43" t="inlineStr">
        <is>
          <t>$ / 1M token</t>
        </is>
      </c>
      <c r="E6" s="44" t="inlineStr">
        <is>
          <t>platform.claude.com/docs/en/about-claude/pricing</t>
        </is>
      </c>
    </row>
    <row r="7">
      <c r="A7" s="43" t="inlineStr">
        <is>
          <t>LLM</t>
        </is>
      </c>
      <c r="B7" s="43" t="inlineStr">
        <is>
          <t>Claude Sonnet 5 — input / output</t>
        </is>
      </c>
      <c r="C7" s="43" t="inlineStr">
        <is>
          <t>2,00 / 10,00</t>
        </is>
      </c>
      <c r="D7" s="43" t="inlineStr">
        <is>
          <t>$ / 1M token</t>
        </is>
      </c>
      <c r="E7" s="44" t="inlineStr">
        <is>
          <t>platform.claude.com/docs/en/about-claude/pricing</t>
        </is>
      </c>
    </row>
    <row r="8">
      <c r="A8" s="43" t="inlineStr">
        <is>
          <t>LLM</t>
        </is>
      </c>
      <c r="B8" s="43" t="inlineStr">
        <is>
          <t>Claude Haiku 4.5 — input / output</t>
        </is>
      </c>
      <c r="C8" s="43" t="inlineStr">
        <is>
          <t>1,00 / 5,00</t>
        </is>
      </c>
      <c r="D8" s="43" t="inlineStr">
        <is>
          <t>$ / 1M token</t>
        </is>
      </c>
      <c r="E8" s="44" t="inlineStr">
        <is>
          <t>platform.claude.com/docs/en/about-claude/pricing</t>
        </is>
      </c>
    </row>
    <row r="9">
      <c r="A9" s="43" t="inlineStr">
        <is>
          <t>LLM</t>
        </is>
      </c>
      <c r="B9" s="43" t="inlineStr">
        <is>
          <t>Claude — cache write 5' / cache read</t>
        </is>
      </c>
      <c r="C9" s="43" t="inlineStr">
        <is>
          <t>1,25× / 0,10× input</t>
        </is>
      </c>
      <c r="D9" s="43" t="inlineStr">
        <is>
          <t>hệ số</t>
        </is>
      </c>
      <c r="E9" s="44" t="inlineStr">
        <is>
          <t>platform.claude.com/docs/en/about-claude/pricing</t>
        </is>
      </c>
    </row>
    <row r="10">
      <c r="A10" s="43" t="inlineStr">
        <is>
          <t>LLM</t>
        </is>
      </c>
      <c r="B10" s="43" t="inlineStr">
        <is>
          <t>⏳ OpenAI GPT-5.6 Sol — input / output</t>
        </is>
      </c>
      <c r="C10" s="43" t="inlineStr">
        <is>
          <t>4,00 / 20,00</t>
        </is>
      </c>
      <c r="D10" s="43" t="inlineStr">
        <is>
          <t>$ / 1M token</t>
        </is>
      </c>
      <c r="E10" s="44" t="inlineStr">
        <is>
          <t>developers.openai.com/api/docs/pricing (KM 21/08–21/11/2026; list 5,00/30,00)</t>
        </is>
      </c>
    </row>
    <row r="11">
      <c r="A11" s="43" t="inlineStr">
        <is>
          <t>LLM</t>
        </is>
      </c>
      <c r="B11" s="43" t="inlineStr">
        <is>
          <t>OpenAI GPT-5.6 Luna — input / output</t>
        </is>
      </c>
      <c r="C11" s="43" t="inlineStr">
        <is>
          <t>0,20 / 1,20</t>
        </is>
      </c>
      <c r="D11" s="43" t="inlineStr">
        <is>
          <t>$ / 1M token</t>
        </is>
      </c>
      <c r="E11" s="44" t="inlineStr">
        <is>
          <t>developers.openai.com/api/docs/pricing</t>
        </is>
      </c>
    </row>
    <row r="12">
      <c r="A12" s="43" t="inlineStr">
        <is>
          <t>LLM</t>
        </is>
      </c>
      <c r="B12" s="43" t="inlineStr">
        <is>
          <t>OpenAI — cached input / Batch API</t>
        </is>
      </c>
      <c r="C12" s="43" t="inlineStr">
        <is>
          <t>10% input / −50%</t>
        </is>
      </c>
      <c r="D12" s="43" t="inlineStr">
        <is>
          <t>hệ số</t>
        </is>
      </c>
      <c r="E12" s="44" t="inlineStr">
        <is>
          <t>developers.openai.com/api/docs/pricing</t>
        </is>
      </c>
    </row>
    <row r="13">
      <c r="A13" s="43" t="inlineStr">
        <is>
          <t>LLM</t>
        </is>
      </c>
      <c r="B13" s="43" t="inlineStr">
        <is>
          <t>Gemini 3.1 Pro — input / output (≤200k)</t>
        </is>
      </c>
      <c r="C13" s="43" t="inlineStr">
        <is>
          <t>2,00 / 12,00</t>
        </is>
      </c>
      <c r="D13" s="43" t="inlineStr">
        <is>
          <t>$ / 1M token</t>
        </is>
      </c>
      <c r="E13" s="44" t="inlineStr">
        <is>
          <t>ai.google.dev/gemini-api/docs/pricing</t>
        </is>
      </c>
    </row>
    <row r="14">
      <c r="A14" s="43" t="inlineStr">
        <is>
          <t>LLM</t>
        </is>
      </c>
      <c r="B14" s="43" t="inlineStr">
        <is>
          <t>⏳ Gemini 3.7 Flash — input / output</t>
        </is>
      </c>
      <c r="C14" s="43" t="inlineStr">
        <is>
          <t>0,75 / 3,75</t>
        </is>
      </c>
      <c r="D14" s="43" t="inlineStr">
        <is>
          <t>$ / 1M token</t>
        </is>
      </c>
      <c r="E14" s="44" t="inlineStr">
        <is>
          <t>ai.google.dev/gemini-api/docs/pricing (KM đến 31/12/2026; sau đó 1,50/7,50)</t>
        </is>
      </c>
    </row>
    <row r="15">
      <c r="A15" s="43" t="inlineStr">
        <is>
          <t>STT</t>
        </is>
      </c>
      <c r="B15" s="43" t="inlineStr">
        <is>
          <t>Deepgram Nova-3 — pre-recorded</t>
        </is>
      </c>
      <c r="C15" s="43" t="inlineStr">
        <is>
          <t>0,0043</t>
        </is>
      </c>
      <c r="D15" s="43" t="inlineStr">
        <is>
          <t>$ / phút</t>
        </is>
      </c>
      <c r="E15" s="44" t="inlineStr">
        <is>
          <t>deepgram.com/pricing</t>
        </is>
      </c>
    </row>
    <row r="16">
      <c r="A16" s="43" t="inlineStr">
        <is>
          <t>STT</t>
        </is>
      </c>
      <c r="B16" s="43" t="inlineStr">
        <is>
          <t>⏳ Deepgram Nova-3 — streaming</t>
        </is>
      </c>
      <c r="C16" s="43" t="inlineStr">
        <is>
          <t>list 0,0077 · KM 0,0048</t>
        </is>
      </c>
      <c r="D16" s="43" t="inlineStr">
        <is>
          <t>$ / phút</t>
        </is>
      </c>
      <c r="E16" s="44" t="inlineStr">
        <is>
          <t>deepgram.com/pricing — đang khuyến mại, kiểm tra lại</t>
        </is>
      </c>
    </row>
    <row r="17">
      <c r="A17" s="43" t="inlineStr">
        <is>
          <t>STT</t>
        </is>
      </c>
      <c r="B17" s="43" t="inlineStr">
        <is>
          <t>AssemblyAI Universal-2 — async</t>
        </is>
      </c>
      <c r="C17" s="43" t="inlineStr">
        <is>
          <t>0,0025</t>
        </is>
      </c>
      <c r="D17" s="43" t="inlineStr">
        <is>
          <t>$ / phút</t>
        </is>
      </c>
      <c r="E17" s="44" t="inlineStr">
        <is>
          <t>assemblyai.com/pricing</t>
        </is>
      </c>
    </row>
    <row r="18">
      <c r="A18" s="43" t="inlineStr">
        <is>
          <t>STT</t>
        </is>
      </c>
      <c r="B18" s="43" t="inlineStr">
        <is>
          <t>OpenAI gpt-4o-mini-transcribe</t>
        </is>
      </c>
      <c r="C18" s="43" t="inlineStr">
        <is>
          <t>0,0030</t>
        </is>
      </c>
      <c r="D18" s="43" t="inlineStr">
        <is>
          <t>$ / phút</t>
        </is>
      </c>
      <c r="E18" s="44" t="inlineStr">
        <is>
          <t>developers.openai.com/api/docs/pricing</t>
        </is>
      </c>
    </row>
    <row r="19">
      <c r="A19" s="43" t="inlineStr">
        <is>
          <t>TTS</t>
        </is>
      </c>
      <c r="B19" s="43" t="inlineStr">
        <is>
          <t>Google Cloud TTS — Standard</t>
        </is>
      </c>
      <c r="C19" s="43" t="inlineStr">
        <is>
          <t>4,00</t>
        </is>
      </c>
      <c r="D19" s="43" t="inlineStr">
        <is>
          <t>$ / 1M ký tự</t>
        </is>
      </c>
      <c r="E19" s="44" t="inlineStr">
        <is>
          <t>cloud.google.com/text-to-speech/pricing (rẻ nhất)</t>
        </is>
      </c>
    </row>
    <row r="20">
      <c r="A20" s="43" t="inlineStr">
        <is>
          <t>TTS</t>
        </is>
      </c>
      <c r="B20" s="43" t="inlineStr">
        <is>
          <t>OpenAI tts-1</t>
        </is>
      </c>
      <c r="C20" s="43" t="inlineStr">
        <is>
          <t>15,00</t>
        </is>
      </c>
      <c r="D20" s="43" t="inlineStr">
        <is>
          <t>$ / 1M ký tự</t>
        </is>
      </c>
      <c r="E20" s="44" t="inlineStr">
        <is>
          <t>developers.openai.com/api/docs/pricing</t>
        </is>
      </c>
    </row>
    <row r="21" ht="15.75" customHeight="1" s="45">
      <c r="A21" s="43" t="inlineStr">
        <is>
          <t>TTS</t>
        </is>
      </c>
      <c r="B21" s="43" t="inlineStr">
        <is>
          <t>ElevenLabs Flash / Turbo</t>
        </is>
      </c>
      <c r="C21" s="43" t="inlineStr">
        <is>
          <t>50,00</t>
        </is>
      </c>
      <c r="D21" s="43" t="inlineStr">
        <is>
          <t>$ / 1M ký tự</t>
        </is>
      </c>
      <c r="E21" s="44" t="inlineStr">
        <is>
          <t>elevenlabs.io/pricing/api</t>
        </is>
      </c>
    </row>
    <row r="22" ht="15.75" customHeight="1" s="45">
      <c r="A22" s="43" t="inlineStr">
        <is>
          <t>TTS</t>
        </is>
      </c>
      <c r="B22" s="43" t="inlineStr">
        <is>
          <t>ElevenLabs v3 / v2 Multilingual</t>
        </is>
      </c>
      <c r="C22" s="43" t="inlineStr">
        <is>
          <t>100,00</t>
        </is>
      </c>
      <c r="D22" s="43" t="inlineStr">
        <is>
          <t>$ / 1M ký tự</t>
        </is>
      </c>
      <c r="E22" s="44" t="inlineStr">
        <is>
          <t>elevenlabs.io/pricing/api</t>
        </is>
      </c>
    </row>
    <row r="23" ht="15.75" customHeight="1" s="45">
      <c r="A23" s="43" t="inlineStr">
        <is>
          <t>Quy đổi</t>
        </is>
      </c>
      <c r="B23" s="43" t="inlineStr">
        <is>
          <t>Tốc độ nói</t>
        </is>
      </c>
      <c r="C23" s="43" t="inlineStr">
        <is>
          <t>≈ 900</t>
        </is>
      </c>
      <c r="D23" s="43" t="inlineStr">
        <is>
          <t>ký tự / phút</t>
        </is>
      </c>
      <c r="E23" s="44" t="inlineStr">
        <is>
          <t>≈150 từ/phút — dùng để đổi phút ↔ ký tự</t>
        </is>
      </c>
    </row>
    <row r="24" ht="15.75" customHeight="1" s="45">
      <c r="A24" s="43" t="inlineStr">
        <is>
          <t>Lưu ý</t>
        </is>
      </c>
      <c r="B24" s="43" t="inlineStr">
        <is>
          <t>Google TTS — ký tự CJK</t>
        </is>
      </c>
      <c r="C24" s="43" t="inlineStr">
        <is>
          <t>tính là 1 ký tự</t>
        </is>
      </c>
      <c r="D24" s="43" t="inlineStr">
        <is>
          <t>—</t>
        </is>
      </c>
      <c r="E24" s="44" t="inlineStr">
        <is>
          <t>cloud.google.com/text-to-speech/pricing (KHÔNG phải ×2)</t>
        </is>
      </c>
    </row>
    <row r="25" ht="15.75" customHeight="1" s="45">
      <c r="A25" s="43" t="inlineStr">
        <is>
          <t>Lưu ý</t>
        </is>
      </c>
      <c r="B25" s="43" t="inlineStr">
        <is>
          <t>Google STT — tính theo kênh</t>
        </is>
      </c>
      <c r="C25" s="43" t="inlineStr">
        <is>
          <t>4 kênh × 120s = 480s</t>
        </is>
      </c>
      <c r="D25" s="43" t="inlineStr">
        <is>
          <t>—</t>
        </is>
      </c>
      <c r="E25" s="44" t="inlineStr">
        <is>
          <t>cloud.google.com/speech-to-text/pricing</t>
        </is>
      </c>
    </row>
    <row r="26" ht="15.75" customHeight="1" s="45">
      <c r="A26" s="43" t="inlineStr">
        <is>
          <t>Lưu ý</t>
        </is>
      </c>
      <c r="B26" s="43" t="inlineStr">
        <is>
          <t>Streaming vs async STT</t>
        </is>
      </c>
      <c r="C26" s="43" t="inlineStr">
        <is>
          <t>1× đến ~5×</t>
        </is>
      </c>
      <c r="D26" s="43" t="inlineStr">
        <is>
          <t>hệ số</t>
        </is>
      </c>
      <c r="E26" s="44" t="inlineStr">
        <is>
          <t>Tuỳ nhà cung cấp — AssemblyAI 1,0× · Google ~5×. Đừng dùng hệ số chung</t>
        </is>
      </c>
    </row>
    <row r="27" ht="15.75" customHeight="1" s="45">
      <c r="A27" s="43" t="inlineStr">
        <is>
          <t>Sản phẩm</t>
        </is>
      </c>
      <c r="B27" s="43" t="inlineStr">
        <is>
          <t>Intercom Fin — resolution</t>
        </is>
      </c>
      <c r="C27" s="43" t="inlineStr">
        <is>
          <t>0,99</t>
        </is>
      </c>
      <c r="D27" s="43" t="inlineStr">
        <is>
          <t>$ / outcome</t>
        </is>
      </c>
      <c r="E27" s="44" t="inlineStr">
        <is>
          <t>fin.ai/pricing</t>
        </is>
      </c>
    </row>
    <row r="28" ht="15.75" customHeight="1" s="45">
      <c r="A28" s="43" t="inlineStr">
        <is>
          <t>Sản phẩm</t>
        </is>
      </c>
      <c r="B28" s="43" t="inlineStr">
        <is>
          <t>Intercom Fin — qualification (sales)</t>
        </is>
      </c>
      <c r="C28" s="43" t="inlineStr">
        <is>
          <t>9,99</t>
        </is>
      </c>
      <c r="D28" s="43" t="inlineStr">
        <is>
          <t>$ / outcome</t>
        </is>
      </c>
      <c r="E28" s="44" t="inlineStr">
        <is>
          <t>fin.ai/pricing</t>
        </is>
      </c>
    </row>
    <row r="29" ht="15.75" customHeight="1" s="45">
      <c r="A29" s="43" t="inlineStr">
        <is>
          <t>Sản phẩm</t>
        </is>
      </c>
      <c r="B29" s="43" t="inlineStr">
        <is>
          <t>Zendesk — automated resolution</t>
        </is>
      </c>
      <c r="C29" s="43" t="inlineStr">
        <is>
          <t>1,50</t>
        </is>
      </c>
      <c r="D29" s="43" t="inlineStr">
        <is>
          <t>$ / resolution</t>
        </is>
      </c>
      <c r="E29" s="44" t="inlineStr">
        <is>
          <t>zendesk.com/blog/ai/agentic-ai/outcome-based-pricing/ (blog, không trên trang giá)</t>
        </is>
      </c>
    </row>
    <row r="30" ht="15.75" customHeight="1" s="45">
      <c r="A30" s="43" t="inlineStr">
        <is>
          <t>Sản phẩm</t>
        </is>
      </c>
      <c r="B30" s="43" t="inlineStr">
        <is>
          <t>Salesforce Agentforce — Flex Credit</t>
        </is>
      </c>
      <c r="C30" s="43" t="inlineStr">
        <is>
          <t>0,005 (action = 0,10)</t>
        </is>
      </c>
      <c r="D30" s="43" t="inlineStr">
        <is>
          <t>$ / credit</t>
        </is>
      </c>
      <c r="E30" s="44" t="inlineStr">
        <is>
          <t>salesforce.com/agentforce/pricing</t>
        </is>
      </c>
    </row>
    <row r="31" ht="15.75" customHeight="1" s="45">
      <c r="A31" s="43" t="inlineStr">
        <is>
          <t>Sản phẩm</t>
        </is>
      </c>
      <c r="B31" s="43" t="inlineStr">
        <is>
          <t>Salesforce Agentforce — conversation</t>
        </is>
      </c>
      <c r="C31" s="43" t="inlineStr">
        <is>
          <t>2,00</t>
        </is>
      </c>
      <c r="D31" s="43" t="inlineStr">
        <is>
          <t>$ / conversation</t>
        </is>
      </c>
      <c r="E31" s="44" t="inlineStr">
        <is>
          <t>salesforce.com/agentforce/pricing</t>
        </is>
      </c>
    </row>
    <row r="32" ht="15.75" customHeight="1" s="45">
      <c r="A32" s="43" t="inlineStr">
        <is>
          <t>Sản phẩm</t>
        </is>
      </c>
      <c r="B32" s="43" t="inlineStr">
        <is>
          <t>GitHub Copilot — AI Credit</t>
        </is>
      </c>
      <c r="C32" s="43" t="inlineStr">
        <is>
          <t>0,01</t>
        </is>
      </c>
      <c r="D32" s="43" t="inlineStr">
        <is>
          <t>$ / credit</t>
        </is>
      </c>
      <c r="E32" s="44" t="inlineStr">
        <is>
          <t>docs.github.com/en/copilot/get-started/plans</t>
        </is>
      </c>
    </row>
    <row r="33" ht="15.75" customHeight="1" s="45">
      <c r="A33" s="43" t="inlineStr">
        <is>
          <t>Sản phẩm</t>
        </is>
      </c>
      <c r="B33" s="43" t="inlineStr">
        <is>
          <t>GitHub Copilot Business / Enterprise</t>
        </is>
      </c>
      <c r="C33" s="43" t="inlineStr">
        <is>
          <t>19 / 39</t>
        </is>
      </c>
      <c r="D33" s="43" t="inlineStr">
        <is>
          <t>$ / seat / tháng</t>
        </is>
      </c>
      <c r="E33" s="44" t="inlineStr">
        <is>
          <t>docs.github.com/en/copilot/get-started/plans</t>
        </is>
      </c>
    </row>
    <row r="34" ht="15.75" customHeight="1" s="45">
      <c r="A34" s="43" t="inlineStr">
        <is>
          <t>Sản phẩm</t>
        </is>
      </c>
      <c r="B34" s="43" t="inlineStr">
        <is>
          <t>Notion — Business / credits</t>
        </is>
      </c>
      <c r="C34" s="43" t="inlineStr">
        <is>
          <t>20 / 10 per 1.000</t>
        </is>
      </c>
      <c r="D34" s="43" t="inlineStr">
        <is>
          <t>$ / member / tháng</t>
        </is>
      </c>
      <c r="E34" s="44" t="inlineStr">
        <is>
          <t>notion.com/pricing</t>
        </is>
      </c>
    </row>
    <row r="35" ht="15.75" customHeight="1" s="45">
      <c r="A35" s="43" t="inlineStr">
        <is>
          <t>Benchmark</t>
        </is>
      </c>
      <c r="B35" s="43" t="inlineStr">
        <is>
          <t>Gross Margin AI-native 2026E</t>
        </is>
      </c>
      <c r="C35" s="43" t="inlineStr">
        <is>
          <t>≈ 53%</t>
        </is>
      </c>
      <c r="D35" s="43" t="inlineStr">
        <is>
          <t>%</t>
        </is>
      </c>
      <c r="E35" s="44" t="inlineStr">
        <is>
          <t>ICONIQ, 2026 State of AI: The Builder's Economy (07/2026)</t>
        </is>
      </c>
    </row>
    <row r="36" ht="15.75" customHeight="1" s="45">
      <c r="A36" s="43" t="inlineStr">
        <is>
          <t>Benchmark</t>
        </is>
      </c>
      <c r="B36" s="43" t="inlineStr">
        <is>
          <t>Gross Margin cloud (middle 50%)</t>
        </is>
      </c>
      <c r="C36" s="43" t="inlineStr">
        <is>
          <t>60 – 80%</t>
        </is>
      </c>
      <c r="D36" s="43" t="inlineStr">
        <is>
          <t>%</t>
        </is>
      </c>
      <c r="E36" s="44" t="inlineStr">
        <is>
          <t>Bessemer, Scaling to $100 Million (2024)</t>
        </is>
      </c>
    </row>
    <row r="37" ht="15.75" customHeight="1" s="45">
      <c r="A37" s="43" t="inlineStr">
        <is>
          <t>Benchmark</t>
        </is>
      </c>
      <c r="B37" s="43" t="inlineStr">
        <is>
          <t>Vertical AI — GM / model cost</t>
        </is>
      </c>
      <c r="C37" s="43" t="inlineStr">
        <is>
          <t>≈65% / ≈10% doanh thu</t>
        </is>
      </c>
      <c r="D37" s="43" t="inlineStr">
        <is>
          <t>%</t>
        </is>
      </c>
      <c r="E37" s="44" t="inlineStr">
        <is>
          <t>Bessemer, State of the Cloud 2024</t>
        </is>
      </c>
    </row>
    <row r="38" ht="15.75" customHeight="1" s="45">
      <c r="A38" s="43" t="inlineStr">
        <is>
          <t>Benchmark</t>
        </is>
      </c>
      <c r="B38" s="43" t="inlineStr">
        <is>
          <t>CAC payback SMB / Mid / Enterprise</t>
        </is>
      </c>
      <c r="C38" s="43" t="inlineStr">
        <is>
          <t>12 / 18 / 24</t>
        </is>
      </c>
      <c r="D38" s="43" t="inlineStr">
        <is>
          <t>tháng</t>
        </is>
      </c>
      <c r="E38" s="44" t="inlineStr">
        <is>
          <t>Bessemer, Scaling to $100 Million (2024)</t>
        </is>
      </c>
    </row>
    <row r="39" ht="15.75" customHeight="1" s="45">
      <c r="A39" s="43" t="inlineStr">
        <is>
          <t>Benchmark</t>
        </is>
      </c>
      <c r="B39" s="43" t="inlineStr">
        <is>
          <t>LTV : CAC</t>
        </is>
      </c>
      <c r="C39" s="43" t="inlineStr">
        <is>
          <t>≥ 3×</t>
        </is>
      </c>
      <c r="D39" s="43" t="inlineStr">
        <is>
          <t>lần</t>
        </is>
      </c>
      <c r="E39" s="44" t="inlineStr">
        <is>
          <t>David Skok, SaaS Metrics 2.0 (cập nhật 06/2026)</t>
        </is>
      </c>
    </row>
    <row r="40" ht="15.75" customHeight="1" s="45">
      <c r="A40" s="43" t="inlineStr">
        <is>
          <t>Benchmark</t>
        </is>
      </c>
      <c r="B40" s="43" t="inlineStr">
        <is>
          <t>Cost per opportunity 2026 (theo phân khúc)</t>
        </is>
      </c>
      <c r="C40" s="43" t="inlineStr">
        <is>
          <t>6.300 · 8.000 · 11.200</t>
        </is>
      </c>
      <c r="D40" s="43" t="inlineStr">
        <is>
          <t>$</t>
        </is>
      </c>
      <c r="E40" s="44" t="inlineStr">
        <is>
          <t>ICONIQ, State of GTM 2026 (tr.22)</t>
        </is>
      </c>
    </row>
    <row r="41" ht="15.75" customHeight="1" s="45">
      <c r="A41" s="43" t="inlineStr">
        <is>
          <t>Benchmark</t>
        </is>
      </c>
      <c r="B41" s="43" t="inlineStr">
        <is>
          <t>ACV sàn cho inside sales</t>
        </is>
      </c>
      <c r="C41" s="43" t="inlineStr">
        <is>
          <t>≈ 3.000</t>
        </is>
      </c>
      <c r="D41" s="43" t="inlineStr">
        <is>
          <t>$ / năm</t>
        </is>
      </c>
      <c r="E41" s="44" t="inlineStr">
        <is>
          <t>Tomasz Tunguz (2016) — có kèm giả định để tính lại</t>
        </is>
      </c>
    </row>
    <row r="42" ht="15.75" customHeight="1" s="45"/>
    <row r="43" ht="15.75" customHeight="1" s="45">
      <c r="A43" s="17" t="inlineStr">
        <is>
          <t>Lưu ý: trang marketing của nhà cung cấp có thể hiển thị giá cũ hơn trang docs. Ưu tiên trang docs / pricing chính thức.</t>
        </is>
      </c>
    </row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2026-10-08T05:37:14Z</dcterms:modified>
</cp:coreProperties>
</file>